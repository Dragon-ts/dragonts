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higros\"/>
    </mc:Choice>
  </mc:AlternateContent>
  <xr:revisionPtr revIDLastSave="0" documentId="13_ncr:1_{C0129B12-101E-49EC-A192-1D2E2F1FE431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欢迎" sheetId="3" r:id="rId1"/>
    <sheet name="总览" sheetId="1" r:id="rId2"/>
    <sheet name="计算区" sheetId="2" r:id="rId3"/>
    <sheet name="版本更新内容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48" i="1" l="1"/>
  <c r="O48" i="1"/>
  <c r="O47" i="1"/>
  <c r="O46" i="1"/>
  <c r="O45" i="1"/>
  <c r="O44" i="1"/>
  <c r="O43" i="1"/>
  <c r="J48" i="1"/>
  <c r="J47" i="1"/>
  <c r="J46" i="1"/>
  <c r="J45" i="1"/>
  <c r="J44" i="1"/>
  <c r="J43" i="1"/>
  <c r="E48" i="1"/>
  <c r="E47" i="1"/>
  <c r="E46" i="1"/>
  <c r="E45" i="1"/>
  <c r="E44" i="1"/>
  <c r="E43" i="1"/>
  <c r="Y41" i="1"/>
  <c r="O41" i="1"/>
  <c r="O40" i="1"/>
  <c r="O39" i="1"/>
  <c r="O38" i="1"/>
  <c r="O37" i="1"/>
  <c r="O36" i="1"/>
  <c r="J41" i="1"/>
  <c r="J40" i="1"/>
  <c r="J39" i="1"/>
  <c r="J38" i="1"/>
  <c r="J37" i="1"/>
  <c r="J36" i="1"/>
  <c r="E41" i="1"/>
  <c r="E40" i="1"/>
  <c r="E39" i="1"/>
  <c r="E38" i="1"/>
  <c r="E37" i="1"/>
  <c r="E36" i="1"/>
  <c r="Y33" i="1"/>
  <c r="O34" i="1"/>
  <c r="O33" i="1"/>
  <c r="O32" i="1"/>
  <c r="O31" i="1"/>
  <c r="O30" i="1"/>
  <c r="O29" i="1"/>
  <c r="O28" i="1"/>
  <c r="J34" i="1"/>
  <c r="J33" i="1"/>
  <c r="J32" i="1"/>
  <c r="J31" i="1"/>
  <c r="J30" i="1"/>
  <c r="J29" i="1"/>
  <c r="J28" i="1"/>
  <c r="E34" i="1"/>
  <c r="E33" i="1"/>
  <c r="E32" i="1"/>
  <c r="E31" i="1"/>
  <c r="E30" i="1"/>
  <c r="E29" i="1"/>
  <c r="E28" i="1"/>
  <c r="T26" i="1"/>
  <c r="T25" i="1"/>
  <c r="O26" i="1"/>
  <c r="O25" i="1"/>
  <c r="O24" i="1"/>
  <c r="O23" i="1"/>
  <c r="O22" i="1"/>
  <c r="J26" i="1"/>
  <c r="J25" i="1"/>
  <c r="J24" i="1"/>
  <c r="J23" i="1"/>
  <c r="J22" i="1"/>
  <c r="E26" i="1"/>
  <c r="E25" i="1"/>
  <c r="E24" i="1"/>
  <c r="E23" i="1"/>
  <c r="E22" i="1"/>
  <c r="D92" i="1"/>
  <c r="I92" i="1"/>
  <c r="N92" i="1"/>
  <c r="Z170" i="1"/>
  <c r="Z168" i="1"/>
  <c r="D6" i="1" l="1"/>
  <c r="O6" i="1"/>
  <c r="D20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J6" i="1"/>
  <c r="S52" i="1" l="1"/>
  <c r="N11" i="2"/>
  <c r="U33" i="2" s="1"/>
  <c r="G8" i="3"/>
  <c r="Z171" i="1"/>
  <c r="Z172" i="1"/>
  <c r="Z173" i="1"/>
  <c r="Z174" i="1"/>
  <c r="Z175" i="1"/>
  <c r="Z176" i="1"/>
  <c r="Z177" i="1"/>
  <c r="Z178" i="1"/>
  <c r="Z169" i="1"/>
  <c r="P11" i="2"/>
  <c r="Q14" i="2" s="1"/>
  <c r="U34" i="2" l="1"/>
  <c r="M11" i="3" s="1"/>
  <c r="Q11" i="3" s="1"/>
  <c r="Q20" i="2"/>
  <c r="T16" i="2" s="1"/>
  <c r="B14" i="3" s="1"/>
  <c r="Q16" i="2"/>
  <c r="Q24" i="2"/>
  <c r="Q22" i="2"/>
  <c r="Q18" i="2"/>
  <c r="L8" i="3"/>
  <c r="X116" i="1"/>
  <c r="X101" i="1"/>
  <c r="X106" i="1"/>
  <c r="X86" i="1"/>
  <c r="X82" i="1"/>
  <c r="X61" i="1"/>
  <c r="X54" i="1"/>
  <c r="X48" i="1"/>
  <c r="X41" i="1"/>
  <c r="X33" i="1"/>
  <c r="S110" i="1"/>
  <c r="S100" i="1"/>
  <c r="S118" i="1"/>
  <c r="S102" i="1"/>
  <c r="S109" i="1"/>
  <c r="S116" i="1"/>
  <c r="S113" i="1"/>
  <c r="S112" i="1"/>
  <c r="S104" i="1"/>
  <c r="S103" i="1"/>
  <c r="S108" i="1"/>
  <c r="S107" i="1"/>
  <c r="S66" i="1"/>
  <c r="S63" i="1"/>
  <c r="N101" i="1"/>
  <c r="N153" i="1"/>
  <c r="N122" i="1"/>
  <c r="N107" i="1"/>
  <c r="N123" i="1"/>
  <c r="N108" i="1"/>
  <c r="N117" i="1"/>
  <c r="N111" i="1"/>
  <c r="N143" i="1"/>
  <c r="N150" i="1"/>
  <c r="N149" i="1"/>
  <c r="N147" i="1"/>
  <c r="N103" i="1"/>
  <c r="N124" i="1"/>
  <c r="N119" i="1"/>
  <c r="N134" i="1"/>
  <c r="N104" i="1"/>
  <c r="N137" i="1"/>
  <c r="N112" i="1"/>
  <c r="N105" i="1"/>
  <c r="N127" i="1"/>
  <c r="N113" i="1"/>
  <c r="N130" i="1"/>
  <c r="N131" i="1"/>
  <c r="N148" i="1"/>
  <c r="N145" i="1"/>
  <c r="N116" i="1"/>
  <c r="N132" i="1"/>
  <c r="N129" i="1"/>
  <c r="N114" i="1"/>
  <c r="N109" i="1"/>
  <c r="N142" i="1"/>
  <c r="N102" i="1"/>
  <c r="N126" i="1"/>
  <c r="N157" i="1"/>
  <c r="N136" i="1"/>
  <c r="N140" i="1"/>
  <c r="N138" i="1"/>
  <c r="N125" i="1"/>
  <c r="N141" i="1"/>
  <c r="N118" i="1"/>
  <c r="N155" i="1"/>
  <c r="N120" i="1"/>
  <c r="N100" i="1"/>
  <c r="N115" i="1"/>
  <c r="N144" i="1"/>
  <c r="N133" i="1"/>
  <c r="N110" i="1"/>
  <c r="N146" i="1"/>
  <c r="N151" i="1"/>
  <c r="N139" i="1"/>
  <c r="N152" i="1"/>
  <c r="N154" i="1"/>
  <c r="N156" i="1"/>
  <c r="N121" i="1"/>
  <c r="N135" i="1"/>
  <c r="N128" i="1"/>
  <c r="N158" i="1"/>
  <c r="N159" i="1"/>
  <c r="N160" i="1"/>
  <c r="N161" i="1"/>
  <c r="N162" i="1"/>
  <c r="N163" i="1"/>
  <c r="N106" i="1"/>
  <c r="N89" i="1"/>
  <c r="N90" i="1"/>
  <c r="N91" i="1"/>
  <c r="N88" i="1"/>
  <c r="N85" i="1"/>
  <c r="N86" i="1"/>
  <c r="N84" i="1"/>
  <c r="N80" i="1"/>
  <c r="N81" i="1"/>
  <c r="N82" i="1"/>
  <c r="N79" i="1"/>
  <c r="N74" i="1"/>
  <c r="N75" i="1"/>
  <c r="N76" i="1"/>
  <c r="N77" i="1"/>
  <c r="N73" i="1"/>
  <c r="N70" i="1"/>
  <c r="N71" i="1"/>
  <c r="N69" i="1"/>
  <c r="N64" i="1"/>
  <c r="N65" i="1"/>
  <c r="N66" i="1"/>
  <c r="N67" i="1"/>
  <c r="N63" i="1"/>
  <c r="N57" i="1"/>
  <c r="N58" i="1"/>
  <c r="N59" i="1"/>
  <c r="N60" i="1"/>
  <c r="N61" i="1"/>
  <c r="N56" i="1"/>
  <c r="N51" i="1"/>
  <c r="N52" i="1"/>
  <c r="N53" i="1"/>
  <c r="N54" i="1"/>
  <c r="N50" i="1"/>
  <c r="N44" i="1"/>
  <c r="N45" i="1"/>
  <c r="N46" i="1"/>
  <c r="N47" i="1"/>
  <c r="N48" i="1"/>
  <c r="N43" i="1"/>
  <c r="N37" i="1"/>
  <c r="N38" i="1"/>
  <c r="N39" i="1"/>
  <c r="N40" i="1"/>
  <c r="N41" i="1"/>
  <c r="N36" i="1"/>
  <c r="N29" i="1"/>
  <c r="N30" i="1"/>
  <c r="N31" i="1"/>
  <c r="N32" i="1"/>
  <c r="N33" i="1"/>
  <c r="N34" i="1"/>
  <c r="N28" i="1"/>
  <c r="I101" i="1"/>
  <c r="I153" i="1"/>
  <c r="I122" i="1"/>
  <c r="I107" i="1"/>
  <c r="I123" i="1"/>
  <c r="I108" i="1"/>
  <c r="I117" i="1"/>
  <c r="I111" i="1"/>
  <c r="I143" i="1"/>
  <c r="I150" i="1"/>
  <c r="I149" i="1"/>
  <c r="I147" i="1"/>
  <c r="I103" i="1"/>
  <c r="I124" i="1"/>
  <c r="I119" i="1"/>
  <c r="I134" i="1"/>
  <c r="I104" i="1"/>
  <c r="I137" i="1"/>
  <c r="I112" i="1"/>
  <c r="I105" i="1"/>
  <c r="I127" i="1"/>
  <c r="I113" i="1"/>
  <c r="I130" i="1"/>
  <c r="I131" i="1"/>
  <c r="I148" i="1"/>
  <c r="I145" i="1"/>
  <c r="I116" i="1"/>
  <c r="I132" i="1"/>
  <c r="I129" i="1"/>
  <c r="I114" i="1"/>
  <c r="I109" i="1"/>
  <c r="I142" i="1"/>
  <c r="I102" i="1"/>
  <c r="I126" i="1"/>
  <c r="I157" i="1"/>
  <c r="I136" i="1"/>
  <c r="I140" i="1"/>
  <c r="I138" i="1"/>
  <c r="I125" i="1"/>
  <c r="I141" i="1"/>
  <c r="I118" i="1"/>
  <c r="I155" i="1"/>
  <c r="I120" i="1"/>
  <c r="I100" i="1"/>
  <c r="I115" i="1"/>
  <c r="I144" i="1"/>
  <c r="I133" i="1"/>
  <c r="I110" i="1"/>
  <c r="I146" i="1"/>
  <c r="I151" i="1"/>
  <c r="I139" i="1"/>
  <c r="I152" i="1"/>
  <c r="I154" i="1"/>
  <c r="I156" i="1"/>
  <c r="I121" i="1"/>
  <c r="I135" i="1"/>
  <c r="I128" i="1"/>
  <c r="I158" i="1"/>
  <c r="I159" i="1"/>
  <c r="I160" i="1"/>
  <c r="I161" i="1"/>
  <c r="I162" i="1"/>
  <c r="I163" i="1"/>
  <c r="I106" i="1"/>
  <c r="I89" i="1"/>
  <c r="I90" i="1"/>
  <c r="I91" i="1"/>
  <c r="I88" i="1"/>
  <c r="I85" i="1"/>
  <c r="I86" i="1"/>
  <c r="I84" i="1"/>
  <c r="I80" i="1"/>
  <c r="I81" i="1"/>
  <c r="I82" i="1"/>
  <c r="I79" i="1"/>
  <c r="I74" i="1"/>
  <c r="I75" i="1"/>
  <c r="I76" i="1"/>
  <c r="I77" i="1"/>
  <c r="I73" i="1"/>
  <c r="I70" i="1"/>
  <c r="I71" i="1"/>
  <c r="I69" i="1"/>
  <c r="I64" i="1"/>
  <c r="I65" i="1"/>
  <c r="I66" i="1"/>
  <c r="I67" i="1"/>
  <c r="I63" i="1"/>
  <c r="I57" i="1"/>
  <c r="I58" i="1"/>
  <c r="I59" i="1"/>
  <c r="I60" i="1"/>
  <c r="I61" i="1"/>
  <c r="I56" i="1"/>
  <c r="I51" i="1"/>
  <c r="I52" i="1"/>
  <c r="I53" i="1"/>
  <c r="I54" i="1"/>
  <c r="I50" i="1"/>
  <c r="I44" i="1"/>
  <c r="I45" i="1"/>
  <c r="I46" i="1"/>
  <c r="I47" i="1"/>
  <c r="I48" i="1"/>
  <c r="I43" i="1"/>
  <c r="I37" i="1"/>
  <c r="I38" i="1"/>
  <c r="I39" i="1"/>
  <c r="I40" i="1"/>
  <c r="I41" i="1"/>
  <c r="I36" i="1"/>
  <c r="I29" i="1"/>
  <c r="I30" i="1"/>
  <c r="I31" i="1"/>
  <c r="I32" i="1"/>
  <c r="I33" i="1"/>
  <c r="I34" i="1"/>
  <c r="I28" i="1"/>
  <c r="I23" i="1"/>
  <c r="I24" i="1"/>
  <c r="I25" i="1"/>
  <c r="I26" i="1"/>
  <c r="I22" i="1"/>
  <c r="D101" i="1"/>
  <c r="D153" i="1"/>
  <c r="D122" i="1"/>
  <c r="D107" i="1"/>
  <c r="D123" i="1"/>
  <c r="D108" i="1"/>
  <c r="D117" i="1"/>
  <c r="D111" i="1"/>
  <c r="D143" i="1"/>
  <c r="D150" i="1"/>
  <c r="D149" i="1"/>
  <c r="D147" i="1"/>
  <c r="D103" i="1"/>
  <c r="D124" i="1"/>
  <c r="D119" i="1"/>
  <c r="D134" i="1"/>
  <c r="D104" i="1"/>
  <c r="D137" i="1"/>
  <c r="D112" i="1"/>
  <c r="D105" i="1"/>
  <c r="D127" i="1"/>
  <c r="D113" i="1"/>
  <c r="D130" i="1"/>
  <c r="D131" i="1"/>
  <c r="D148" i="1"/>
  <c r="D145" i="1"/>
  <c r="D116" i="1"/>
  <c r="D132" i="1"/>
  <c r="D129" i="1"/>
  <c r="D114" i="1"/>
  <c r="D109" i="1"/>
  <c r="D142" i="1"/>
  <c r="D102" i="1"/>
  <c r="D126" i="1"/>
  <c r="D157" i="1"/>
  <c r="D136" i="1"/>
  <c r="D140" i="1"/>
  <c r="D138" i="1"/>
  <c r="D125" i="1"/>
  <c r="D141" i="1"/>
  <c r="D118" i="1"/>
  <c r="D155" i="1"/>
  <c r="D120" i="1"/>
  <c r="D100" i="1"/>
  <c r="D115" i="1"/>
  <c r="D144" i="1"/>
  <c r="D133" i="1"/>
  <c r="D110" i="1"/>
  <c r="D146" i="1"/>
  <c r="D151" i="1"/>
  <c r="D139" i="1"/>
  <c r="D152" i="1"/>
  <c r="D154" i="1"/>
  <c r="D156" i="1"/>
  <c r="D121" i="1"/>
  <c r="D135" i="1"/>
  <c r="D128" i="1"/>
  <c r="D158" i="1"/>
  <c r="D159" i="1"/>
  <c r="D160" i="1"/>
  <c r="D161" i="1"/>
  <c r="D162" i="1"/>
  <c r="D163" i="1"/>
  <c r="D106" i="1"/>
  <c r="D91" i="1"/>
  <c r="D90" i="1"/>
  <c r="D89" i="1"/>
  <c r="D88" i="1"/>
  <c r="D86" i="1"/>
  <c r="D85" i="1"/>
  <c r="D84" i="1"/>
  <c r="D82" i="1"/>
  <c r="D81" i="1"/>
  <c r="D80" i="1"/>
  <c r="D79" i="1"/>
  <c r="D77" i="1"/>
  <c r="D76" i="1"/>
  <c r="D75" i="1"/>
  <c r="D74" i="1"/>
  <c r="D73" i="1"/>
  <c r="D71" i="1"/>
  <c r="D70" i="1"/>
  <c r="D69" i="1"/>
  <c r="D67" i="1"/>
  <c r="D66" i="1"/>
  <c r="D65" i="1"/>
  <c r="D64" i="1"/>
  <c r="D63" i="1"/>
  <c r="D61" i="1"/>
  <c r="D60" i="1"/>
  <c r="D59" i="1"/>
  <c r="D58" i="1"/>
  <c r="D57" i="1"/>
  <c r="D56" i="1"/>
  <c r="D54" i="1"/>
  <c r="D53" i="1"/>
  <c r="D52" i="1"/>
  <c r="D51" i="1"/>
  <c r="D50" i="1"/>
  <c r="D48" i="1"/>
  <c r="D47" i="1"/>
  <c r="D46" i="1"/>
  <c r="D45" i="1"/>
  <c r="D44" i="1"/>
  <c r="D43" i="1"/>
  <c r="D41" i="1"/>
  <c r="D40" i="1"/>
  <c r="D39" i="1"/>
  <c r="D38" i="1"/>
  <c r="D37" i="1"/>
  <c r="D36" i="1"/>
  <c r="D34" i="1"/>
  <c r="D33" i="1"/>
  <c r="D32" i="1"/>
  <c r="D31" i="1"/>
  <c r="D30" i="1"/>
  <c r="D29" i="1"/>
  <c r="D28" i="1"/>
  <c r="E41" i="2"/>
  <c r="S25" i="1"/>
  <c r="S26" i="1"/>
  <c r="N26" i="1"/>
  <c r="N23" i="1"/>
  <c r="N24" i="1"/>
  <c r="N25" i="1"/>
  <c r="N22" i="1"/>
  <c r="D23" i="1"/>
  <c r="D24" i="1"/>
  <c r="D25" i="1"/>
  <c r="D26" i="1"/>
  <c r="D22" i="1"/>
  <c r="S10" i="1"/>
  <c r="S11" i="1"/>
  <c r="S12" i="1"/>
  <c r="S13" i="1"/>
  <c r="S16" i="1"/>
  <c r="S17" i="1"/>
  <c r="S19" i="1"/>
  <c r="S20" i="1"/>
  <c r="S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6" i="1"/>
  <c r="E81" i="2"/>
  <c r="E80" i="2"/>
  <c r="E76" i="2"/>
  <c r="E77" i="2"/>
  <c r="E78" i="2"/>
  <c r="E79" i="2"/>
  <c r="E75" i="2"/>
  <c r="E71" i="2"/>
  <c r="E72" i="2"/>
  <c r="E73" i="2"/>
  <c r="E74" i="2"/>
  <c r="E70" i="2"/>
  <c r="E66" i="2"/>
  <c r="E67" i="2"/>
  <c r="E68" i="2"/>
  <c r="E69" i="2"/>
  <c r="E65" i="2"/>
  <c r="B15" i="3" l="1"/>
  <c r="T14" i="2"/>
  <c r="B11" i="3" s="1"/>
  <c r="E26" i="2"/>
  <c r="I10" i="1"/>
  <c r="I11" i="1"/>
  <c r="I12" i="1"/>
  <c r="I13" i="1"/>
  <c r="I14" i="1"/>
  <c r="I15" i="1"/>
  <c r="I16" i="1"/>
  <c r="I17" i="1"/>
  <c r="I18" i="1"/>
  <c r="I19" i="1"/>
  <c r="I20" i="1"/>
  <c r="I7" i="1"/>
  <c r="I8" i="1"/>
  <c r="I9" i="1"/>
  <c r="I6" i="1"/>
  <c r="T39" i="2" l="1"/>
  <c r="E6" i="1"/>
  <c r="E11" i="2"/>
  <c r="E7" i="1"/>
  <c r="E12" i="2"/>
  <c r="E8" i="1"/>
  <c r="E13" i="2"/>
  <c r="E9" i="1"/>
  <c r="E14" i="2"/>
  <c r="E10" i="1"/>
  <c r="E15" i="2"/>
  <c r="E20" i="1"/>
  <c r="E25" i="2"/>
  <c r="E19" i="1"/>
  <c r="E24" i="2"/>
  <c r="E18" i="1"/>
  <c r="E23" i="2"/>
  <c r="E17" i="1" l="1"/>
  <c r="E22" i="2"/>
  <c r="E16" i="1"/>
  <c r="E21" i="2"/>
  <c r="E15" i="1"/>
  <c r="E20" i="2"/>
  <c r="E19" i="2"/>
  <c r="E14" i="1"/>
  <c r="E13" i="1"/>
  <c r="E18" i="2"/>
  <c r="E12" i="1"/>
  <c r="E17" i="2"/>
  <c r="E11" i="1" l="1"/>
  <c r="E16" i="2"/>
  <c r="I14" i="2" s="1"/>
  <c r="I12" i="2"/>
  <c r="I16" i="2" l="1"/>
  <c r="I17" i="2"/>
  <c r="I13" i="2"/>
  <c r="I15" i="2"/>
  <c r="I11" i="2"/>
  <c r="J20" i="1"/>
  <c r="E40" i="2"/>
  <c r="J19" i="1"/>
  <c r="E39" i="2"/>
  <c r="J18" i="1"/>
  <c r="E38" i="2"/>
  <c r="J17" i="1"/>
  <c r="E37" i="2"/>
  <c r="J16" i="1"/>
  <c r="E36" i="2"/>
  <c r="J15" i="1"/>
  <c r="E35" i="2"/>
  <c r="J14" i="1"/>
  <c r="E34" i="2"/>
  <c r="J13" i="1"/>
  <c r="E33" i="2"/>
  <c r="J12" i="1"/>
  <c r="E32" i="2"/>
  <c r="E31" i="2"/>
  <c r="J11" i="1"/>
  <c r="J10" i="1"/>
  <c r="E30" i="2"/>
  <c r="E29" i="2"/>
  <c r="J9" i="1"/>
  <c r="J8" i="1"/>
  <c r="E28" i="2"/>
  <c r="J7" i="1"/>
  <c r="E27" i="2"/>
  <c r="I20" i="2" l="1"/>
  <c r="I25" i="2"/>
  <c r="I22" i="2"/>
  <c r="I21" i="2"/>
  <c r="I24" i="2"/>
  <c r="I19" i="2"/>
  <c r="I23" i="2"/>
  <c r="I18" i="2"/>
  <c r="O8" i="1"/>
  <c r="E43" i="2"/>
  <c r="O9" i="1"/>
  <c r="E44" i="2"/>
  <c r="O10" i="1"/>
  <c r="E45" i="2"/>
  <c r="O11" i="1"/>
  <c r="E46" i="2"/>
  <c r="O12" i="1"/>
  <c r="E47" i="2"/>
  <c r="O13" i="1"/>
  <c r="E48" i="2"/>
  <c r="O14" i="1"/>
  <c r="E49" i="2"/>
  <c r="O15" i="1"/>
  <c r="E50" i="2"/>
  <c r="O7" i="1"/>
  <c r="E42" i="2"/>
  <c r="O16" i="1"/>
  <c r="E51" i="2"/>
  <c r="O17" i="1"/>
  <c r="E52" i="2"/>
  <c r="O18" i="1"/>
  <c r="E53" i="2"/>
  <c r="O19" i="1"/>
  <c r="E54" i="2"/>
  <c r="O20" i="1"/>
  <c r="E55" i="2"/>
  <c r="T6" i="1"/>
  <c r="E56" i="2"/>
  <c r="E57" i="2"/>
  <c r="T10" i="1"/>
  <c r="T11" i="1"/>
  <c r="E58" i="2"/>
  <c r="T12" i="1"/>
  <c r="E59" i="2"/>
  <c r="T13" i="1"/>
  <c r="E60" i="2"/>
  <c r="T16" i="1"/>
  <c r="E61" i="2"/>
  <c r="T17" i="1"/>
  <c r="E62" i="2"/>
  <c r="T19" i="1"/>
  <c r="E63" i="2"/>
  <c r="T20" i="1"/>
  <c r="E64" i="2"/>
</calcChain>
</file>

<file path=xl/sharedStrings.xml><?xml version="1.0" encoding="utf-8"?>
<sst xmlns="http://schemas.openxmlformats.org/spreadsheetml/2006/main" count="1739" uniqueCount="299">
  <si>
    <t>phigros</t>
    <phoneticPr fontId="1" type="noConversion"/>
  </si>
  <si>
    <t>曲名</t>
    <phoneticPr fontId="1" type="noConversion"/>
  </si>
  <si>
    <t>难度</t>
    <phoneticPr fontId="1" type="noConversion"/>
  </si>
  <si>
    <t>EZ</t>
    <phoneticPr fontId="1" type="noConversion"/>
  </si>
  <si>
    <t>HD</t>
    <phoneticPr fontId="1" type="noConversion"/>
  </si>
  <si>
    <t>IN</t>
    <phoneticPr fontId="1" type="noConversion"/>
  </si>
  <si>
    <t>Legacy</t>
    <phoneticPr fontId="1" type="noConversion"/>
  </si>
  <si>
    <t>AT</t>
    <phoneticPr fontId="1" type="noConversion"/>
  </si>
  <si>
    <t>Glaciaxion</t>
    <phoneticPr fontId="1" type="noConversion"/>
  </si>
  <si>
    <t>过去的章节</t>
    <phoneticPr fontId="1" type="noConversion"/>
  </si>
  <si>
    <t>Credits</t>
    <phoneticPr fontId="1" type="noConversion"/>
  </si>
  <si>
    <t>Eradication Catastophe</t>
    <phoneticPr fontId="1" type="noConversion"/>
  </si>
  <si>
    <t>Dlyrotz</t>
    <phoneticPr fontId="1" type="noConversion"/>
  </si>
  <si>
    <t>Engine x Start!!(melody mix)</t>
    <phoneticPr fontId="1" type="noConversion"/>
  </si>
  <si>
    <t>光</t>
    <phoneticPr fontId="1" type="noConversion"/>
  </si>
  <si>
    <t>Winter↑Cube↓</t>
    <phoneticPr fontId="1" type="noConversion"/>
  </si>
  <si>
    <t>混乱-Confusion</t>
    <phoneticPr fontId="1" type="noConversion"/>
  </si>
  <si>
    <t>Cipher:/2&amp;//&lt;|0</t>
    <phoneticPr fontId="1" type="noConversion"/>
  </si>
  <si>
    <t>FULi AUTO SHOOTER</t>
    <phoneticPr fontId="1" type="noConversion"/>
  </si>
  <si>
    <t>HumaN</t>
    <phoneticPr fontId="1" type="noConversion"/>
  </si>
  <si>
    <t>[PRAW]</t>
    <phoneticPr fontId="1" type="noConversion"/>
  </si>
  <si>
    <t>Cereris</t>
    <phoneticPr fontId="1" type="noConversion"/>
  </si>
  <si>
    <t>Pixel Rebeiz</t>
    <phoneticPr fontId="1" type="noConversion"/>
  </si>
  <si>
    <t>Non-Melodic Ragez</t>
    <phoneticPr fontId="1" type="noConversion"/>
  </si>
  <si>
    <t>Chapter 4 管道迷宫</t>
    <phoneticPr fontId="1" type="noConversion"/>
  </si>
  <si>
    <t>Sultan Rage</t>
    <phoneticPr fontId="1" type="noConversion"/>
  </si>
  <si>
    <t>Class Memories</t>
    <phoneticPr fontId="1" type="noConversion"/>
  </si>
  <si>
    <t>—SURREALISM—</t>
    <phoneticPr fontId="1" type="noConversion"/>
  </si>
  <si>
    <t>Bonus Time</t>
    <phoneticPr fontId="1" type="noConversion"/>
  </si>
  <si>
    <t>ENERGY SYNERGY MATRIX</t>
    <phoneticPr fontId="1" type="noConversion"/>
  </si>
  <si>
    <t>NYA!!!</t>
    <phoneticPr fontId="1" type="noConversion"/>
  </si>
  <si>
    <t>JunXion Between Life And Death(VIP Mix)</t>
    <phoneticPr fontId="1" type="noConversion"/>
  </si>
  <si>
    <t>cryout</t>
    <phoneticPr fontId="1" type="noConversion"/>
  </si>
  <si>
    <t>Reimei</t>
    <phoneticPr fontId="1" type="noConversion"/>
  </si>
  <si>
    <t>尊師 ～The Guru～</t>
    <phoneticPr fontId="1" type="noConversion"/>
  </si>
  <si>
    <t>Spasmodic</t>
    <phoneticPr fontId="1" type="noConversion"/>
  </si>
  <si>
    <t>Leave All Behind</t>
    <phoneticPr fontId="1" type="noConversion"/>
  </si>
  <si>
    <t>Chapter 6 方舟蜃景</t>
    <phoneticPr fontId="1" type="noConversion"/>
  </si>
  <si>
    <r>
      <t>Colorful Days</t>
    </r>
    <r>
      <rPr>
        <sz val="11"/>
        <color theme="1"/>
        <rFont val="Segoe UI Symbol"/>
        <family val="2"/>
      </rPr>
      <t>♪</t>
    </r>
    <phoneticPr fontId="1" type="noConversion"/>
  </si>
  <si>
    <t>micro.wav</t>
    <phoneticPr fontId="1" type="noConversion"/>
  </si>
  <si>
    <t>重生</t>
    <phoneticPr fontId="1" type="noConversion"/>
  </si>
  <si>
    <t>NO ONE YES MAN</t>
    <phoneticPr fontId="1" type="noConversion"/>
  </si>
  <si>
    <t>望影の方舟Six</t>
  </si>
  <si>
    <t>Igallta</t>
    <phoneticPr fontId="1" type="noConversion"/>
  </si>
  <si>
    <t>Side Story 1 忘忧宫</t>
    <phoneticPr fontId="1" type="noConversion"/>
  </si>
  <si>
    <t>Ποσειδών</t>
    <phoneticPr fontId="1" type="noConversion"/>
  </si>
  <si>
    <t>WATER</t>
    <phoneticPr fontId="1" type="noConversion"/>
  </si>
  <si>
    <t>Miracle Forest (VIP Mix)</t>
    <phoneticPr fontId="1" type="noConversion"/>
  </si>
  <si>
    <t>MOBILYS</t>
    <phoneticPr fontId="1" type="noConversion"/>
  </si>
  <si>
    <t>Lyrith -迷宮リリス-</t>
  </si>
  <si>
    <t>Chapter Ex-Rising Sun Traxx精选集</t>
    <phoneticPr fontId="1" type="noConversion"/>
  </si>
  <si>
    <t>Another Me</t>
    <phoneticPr fontId="1" type="noConversion"/>
  </si>
  <si>
    <t>mechanted</t>
    <phoneticPr fontId="1" type="noConversion"/>
  </si>
  <si>
    <t>life flashes before weeb eyes</t>
    <phoneticPr fontId="1" type="noConversion"/>
  </si>
  <si>
    <t>Break Through The Barrier</t>
    <phoneticPr fontId="1" type="noConversion"/>
  </si>
  <si>
    <t>Chronostasis</t>
    <phoneticPr fontId="1" type="noConversion"/>
  </si>
  <si>
    <t>Chapter Ex-HyuN 精选集</t>
    <phoneticPr fontId="1" type="noConversion"/>
  </si>
  <si>
    <t>Infinity Heaven</t>
    <phoneticPr fontId="1" type="noConversion"/>
  </si>
  <si>
    <t>Disorder</t>
    <phoneticPr fontId="1" type="noConversion"/>
  </si>
  <si>
    <t>CROSS†SOUL</t>
  </si>
  <si>
    <t>Chapter Ex-GOOD 精选集</t>
    <phoneticPr fontId="1" type="noConversion"/>
  </si>
  <si>
    <t>GOODTEK</t>
    <phoneticPr fontId="1" type="noConversion"/>
  </si>
  <si>
    <t>GOODBOUNCE</t>
    <phoneticPr fontId="1" type="noConversion"/>
  </si>
  <si>
    <t>GOODWORLD</t>
    <phoneticPr fontId="1" type="noConversion"/>
  </si>
  <si>
    <t>GOODFPRTUNE</t>
    <phoneticPr fontId="1" type="noConversion"/>
  </si>
  <si>
    <t>GOODRAGE</t>
    <phoneticPr fontId="1" type="noConversion"/>
  </si>
  <si>
    <t>Chapter Ex-WAVEAT 精选集</t>
    <phoneticPr fontId="1" type="noConversion"/>
  </si>
  <si>
    <t>Initialize</t>
    <phoneticPr fontId="1" type="noConversion"/>
  </si>
  <si>
    <t>桜樹街道</t>
  </si>
  <si>
    <t>Get Ready!!</t>
    <phoneticPr fontId="1" type="noConversion"/>
  </si>
  <si>
    <t>volcanic</t>
    <phoneticPr fontId="1" type="noConversion"/>
  </si>
  <si>
    <t>Chapter Ex-Muse Dash 精选集</t>
    <phoneticPr fontId="1" type="noConversion"/>
  </si>
  <si>
    <t>XING</t>
    <phoneticPr fontId="1" type="noConversion"/>
  </si>
  <si>
    <t>Final Step!</t>
    <phoneticPr fontId="1" type="noConversion"/>
  </si>
  <si>
    <t>Cthugha</t>
    <phoneticPr fontId="1" type="noConversion"/>
  </si>
  <si>
    <t>单曲集</t>
    <phoneticPr fontId="1" type="noConversion"/>
  </si>
  <si>
    <t>分数</t>
    <phoneticPr fontId="1" type="noConversion"/>
  </si>
  <si>
    <t>ACC</t>
    <phoneticPr fontId="1" type="noConversion"/>
  </si>
  <si>
    <t>Chapter 7 时钟链接</t>
    <phoneticPr fontId="1" type="noConversion"/>
  </si>
  <si>
    <t>Clock Paradox</t>
    <phoneticPr fontId="1" type="noConversion"/>
  </si>
  <si>
    <t>Chronologika</t>
    <phoneticPr fontId="1" type="noConversion"/>
  </si>
  <si>
    <t>Nick of Time</t>
    <phoneticPr fontId="1" type="noConversion"/>
  </si>
  <si>
    <t>Chronomia</t>
    <phoneticPr fontId="1" type="noConversion"/>
  </si>
  <si>
    <t>Chronos Collapse - La Campanella</t>
  </si>
  <si>
    <t>Rrhar'il</t>
    <phoneticPr fontId="1" type="noConversion"/>
  </si>
  <si>
    <t>Side Story 2 弭刻日</t>
    <phoneticPr fontId="1" type="noConversion"/>
  </si>
  <si>
    <t>Demiurge</t>
    <phoneticPr fontId="1" type="noConversion"/>
  </si>
  <si>
    <t>Chapter EX-KALPA 精选集</t>
    <phoneticPr fontId="1" type="noConversion"/>
  </si>
  <si>
    <t>HAZARD</t>
    <phoneticPr fontId="1" type="noConversion"/>
  </si>
  <si>
    <t>Time to Night Sky (feat. Lee Yu Jin)</t>
    <phoneticPr fontId="1" type="noConversion"/>
  </si>
  <si>
    <t>Don't Never Around</t>
    <phoneticPr fontId="1" type="noConversion"/>
  </si>
  <si>
    <t>RESSiSTANCE</t>
    <phoneticPr fontId="1" type="noConversion"/>
  </si>
  <si>
    <t>db doll</t>
    <phoneticPr fontId="1" type="noConversion"/>
  </si>
  <si>
    <t>もぺもぺ</t>
    <phoneticPr fontId="1" type="noConversion"/>
  </si>
  <si>
    <t>-Arkhei-</t>
    <phoneticPr fontId="1" type="noConversion"/>
  </si>
  <si>
    <t>Next Time</t>
    <phoneticPr fontId="1" type="noConversion"/>
  </si>
  <si>
    <t>Dash</t>
    <phoneticPr fontId="1" type="noConversion"/>
  </si>
  <si>
    <t>Rubbish Sorting</t>
    <phoneticPr fontId="1" type="noConversion"/>
  </si>
  <si>
    <t>云女孩</t>
    <phoneticPr fontId="1" type="noConversion"/>
  </si>
  <si>
    <t>Sparkle New Life</t>
    <phoneticPr fontId="1" type="noConversion"/>
  </si>
  <si>
    <t>Aphasia</t>
    <phoneticPr fontId="1" type="noConversion"/>
  </si>
  <si>
    <t>Wavetapper</t>
    <phoneticPr fontId="1" type="noConversion"/>
  </si>
  <si>
    <t>游园地</t>
    <phoneticPr fontId="1" type="noConversion"/>
  </si>
  <si>
    <t>Apocalyptic</t>
    <phoneticPr fontId="1" type="noConversion"/>
  </si>
  <si>
    <t>With You</t>
    <phoneticPr fontId="1" type="noConversion"/>
  </si>
  <si>
    <t>Dead Soul</t>
    <phoneticPr fontId="1" type="noConversion"/>
  </si>
  <si>
    <t>Snow Desert</t>
    <phoneticPr fontId="1" type="noConversion"/>
  </si>
  <si>
    <t>Electron</t>
    <phoneticPr fontId="1" type="noConversion"/>
  </si>
  <si>
    <t>万吨匿名信</t>
    <phoneticPr fontId="1" type="noConversion"/>
  </si>
  <si>
    <t>Äventyr</t>
    <phoneticPr fontId="1" type="noConversion"/>
  </si>
  <si>
    <t>开心病</t>
    <phoneticPr fontId="1" type="noConversion"/>
  </si>
  <si>
    <t>风屿</t>
    <phoneticPr fontId="1" type="noConversion"/>
  </si>
  <si>
    <t>Get Back</t>
    <phoneticPr fontId="1" type="noConversion"/>
  </si>
  <si>
    <t>華灯爱</t>
    <phoneticPr fontId="1" type="noConversion"/>
  </si>
  <si>
    <t>Orthodox</t>
    <phoneticPr fontId="1" type="noConversion"/>
  </si>
  <si>
    <t>End Me</t>
    <phoneticPr fontId="1" type="noConversion"/>
  </si>
  <si>
    <t>Unorthodox Thoughts</t>
    <phoneticPr fontId="1" type="noConversion"/>
  </si>
  <si>
    <t>Eltaw</t>
    <phoneticPr fontId="1" type="noConversion"/>
  </si>
  <si>
    <t>狂喜蘭舞</t>
    <phoneticPr fontId="1" type="noConversion"/>
  </si>
  <si>
    <t>Parallel Retrogression(Game Ver.)</t>
    <phoneticPr fontId="1" type="noConversion"/>
  </si>
  <si>
    <t>The Mountain Eater</t>
    <phoneticPr fontId="1" type="noConversion"/>
  </si>
  <si>
    <t>Find_Me</t>
    <phoneticPr fontId="1" type="noConversion"/>
  </si>
  <si>
    <t>Drop It</t>
    <phoneticPr fontId="1" type="noConversion"/>
  </si>
  <si>
    <t>Shadow</t>
    <phoneticPr fontId="1" type="noConversion"/>
  </si>
  <si>
    <t>MARENOL</t>
    <phoneticPr fontId="1" type="noConversion"/>
  </si>
  <si>
    <t>Magenta Potion</t>
    <phoneticPr fontId="1" type="noConversion"/>
  </si>
  <si>
    <t>ジングルベル(Jingle Bell)</t>
    <phoneticPr fontId="1" type="noConversion"/>
  </si>
  <si>
    <t>Hardcore Kwaya</t>
    <phoneticPr fontId="1" type="noConversion"/>
  </si>
  <si>
    <t>Cervelle Connexion</t>
    <phoneticPr fontId="1" type="noConversion"/>
  </si>
  <si>
    <t>Träne</t>
    <phoneticPr fontId="1" type="noConversion"/>
  </si>
  <si>
    <t>Speed Up!</t>
    <phoneticPr fontId="1" type="noConversion"/>
  </si>
  <si>
    <t>modulus</t>
    <phoneticPr fontId="1" type="noConversion"/>
  </si>
  <si>
    <t>Khronostasis Katharsis</t>
    <phoneticPr fontId="1" type="noConversion"/>
  </si>
  <si>
    <t>ρars/ey</t>
    <phoneticPr fontId="1" type="noConversion"/>
  </si>
  <si>
    <t>Burn</t>
    <phoneticPr fontId="1" type="noConversion"/>
  </si>
  <si>
    <t>Doppelganger</t>
    <phoneticPr fontId="1" type="noConversion"/>
  </si>
  <si>
    <t>Sein</t>
    <phoneticPr fontId="1" type="noConversion"/>
  </si>
  <si>
    <t>大和撫子 -Wild Dances-</t>
    <phoneticPr fontId="1" type="noConversion"/>
  </si>
  <si>
    <t>Starduster</t>
    <phoneticPr fontId="1" type="noConversion"/>
  </si>
  <si>
    <t>RIPPER</t>
    <phoneticPr fontId="1" type="noConversion"/>
  </si>
  <si>
    <t>Better Graphic Animation</t>
    <phoneticPr fontId="1" type="noConversion"/>
  </si>
  <si>
    <t>energy trixxx</t>
    <phoneticPr fontId="1" type="noConversion"/>
  </si>
  <si>
    <t>雪降り、メリクリ</t>
    <phoneticPr fontId="1" type="noConversion"/>
  </si>
  <si>
    <t>Nhelv</t>
    <phoneticPr fontId="1" type="noConversion"/>
  </si>
  <si>
    <t>Kerberos</t>
    <phoneticPr fontId="1" type="noConversion"/>
  </si>
  <si>
    <t>Concvssion</t>
    <phoneticPr fontId="1" type="noConversion"/>
  </si>
  <si>
    <t>Aleph-0</t>
    <phoneticPr fontId="1" type="noConversion"/>
  </si>
  <si>
    <t>SIGMA</t>
    <phoneticPr fontId="1" type="noConversion"/>
  </si>
  <si>
    <t>Palescreen</t>
    <phoneticPr fontId="1" type="noConversion"/>
  </si>
  <si>
    <t>Dreamland</t>
    <phoneticPr fontId="1" type="noConversion"/>
  </si>
  <si>
    <t>Another Round</t>
    <phoneticPr fontId="1" type="noConversion"/>
  </si>
  <si>
    <t>Future Mind</t>
    <phoneticPr fontId="1" type="noConversion"/>
  </si>
  <si>
    <t>Luminescent</t>
    <phoneticPr fontId="1" type="noConversion"/>
  </si>
  <si>
    <t>FULi AUTO BUSTER</t>
    <phoneticPr fontId="1" type="noConversion"/>
  </si>
  <si>
    <r>
      <t>萤火虫</t>
    </r>
    <r>
      <rPr>
        <sz val="11"/>
        <color rgb="FF222222"/>
        <rFont val="等线"/>
        <family val="3"/>
        <charset val="134"/>
        <scheme val="minor"/>
      </rPr>
      <t>の怨</t>
    </r>
    <phoneticPr fontId="1" type="noConversion"/>
  </si>
  <si>
    <t>隐藏曲</t>
    <phoneticPr fontId="1" type="noConversion"/>
  </si>
  <si>
    <t>Winter↑Cube↓ (Original mix)</t>
    <phoneticPr fontId="1" type="noConversion"/>
  </si>
  <si>
    <t>Christmas</t>
    <phoneticPr fontId="1" type="noConversion"/>
  </si>
  <si>
    <t>Burn(Haocore Mix)</t>
    <phoneticPr fontId="1" type="noConversion"/>
  </si>
  <si>
    <t>Spasmodic(Haocore Mix)</t>
    <phoneticPr fontId="1" type="noConversion"/>
  </si>
  <si>
    <t>Sigma (Haocore Mix) ~ 105秒の伝説 ~</t>
    <phoneticPr fontId="1" type="noConversion"/>
  </si>
  <si>
    <t>Sigma (Haocore Mix) ~Regrets of The Yellow Tulip~</t>
    <phoneticPr fontId="1" type="noConversion"/>
  </si>
  <si>
    <t>物量</t>
    <phoneticPr fontId="1" type="noConversion"/>
  </si>
  <si>
    <t>名称</t>
    <phoneticPr fontId="1" type="noConversion"/>
  </si>
  <si>
    <t>评级</t>
    <phoneticPr fontId="1" type="noConversion"/>
  </si>
  <si>
    <t>7..2</t>
    <phoneticPr fontId="1" type="noConversion"/>
  </si>
  <si>
    <t>需要的版本&amp;日期</t>
    <phoneticPr fontId="1" type="noConversion"/>
  </si>
  <si>
    <t>2.1.4 &amp; 2022.4.1</t>
    <phoneticPr fontId="1" type="noConversion"/>
  </si>
  <si>
    <t>1.4.1 &amp; 2020.4.1</t>
    <phoneticPr fontId="1" type="noConversion"/>
  </si>
  <si>
    <t>1.6.5/1.6.6 &amp; 2021.4.1</t>
    <phoneticPr fontId="1" type="noConversion"/>
  </si>
  <si>
    <t>1.4.1 &amp; N/A</t>
    <phoneticPr fontId="1" type="noConversion"/>
  </si>
  <si>
    <t>1.6.5 &amp; 2021.4.1</t>
    <phoneticPr fontId="1" type="noConversion"/>
  </si>
  <si>
    <t>定数</t>
    <phoneticPr fontId="1" type="noConversion"/>
  </si>
  <si>
    <t>计算区，不要动任何的东西！</t>
    <phoneticPr fontId="1" type="noConversion"/>
  </si>
  <si>
    <t>Max Combo</t>
    <phoneticPr fontId="1" type="noConversion"/>
  </si>
  <si>
    <t>ACC排序区</t>
    <phoneticPr fontId="1" type="noConversion"/>
  </si>
  <si>
    <t>Name</t>
    <phoneticPr fontId="1" type="noConversion"/>
  </si>
  <si>
    <t>\</t>
    <phoneticPr fontId="1" type="noConversion"/>
  </si>
  <si>
    <t>Level</t>
    <phoneticPr fontId="1" type="noConversion"/>
  </si>
  <si>
    <t>ACC罗列区</t>
    <phoneticPr fontId="1" type="noConversion"/>
  </si>
  <si>
    <t>Legacy</t>
  </si>
  <si>
    <t>1.2.4 &amp; N/A</t>
    <phoneticPr fontId="1" type="noConversion"/>
  </si>
  <si>
    <t>Demonkin</t>
    <phoneticPr fontId="1" type="noConversion"/>
  </si>
  <si>
    <t>Re_Nascence (Psystyle Ver.)</t>
  </si>
  <si>
    <t>Ark</t>
    <phoneticPr fontId="1" type="noConversion"/>
  </si>
  <si>
    <t>After Dawn</t>
    <phoneticPr fontId="1" type="noConversion"/>
  </si>
  <si>
    <t>INFiNiTE ENERZY -Overdoze-</t>
    <phoneticPr fontId="1" type="noConversion"/>
  </si>
  <si>
    <t>版本号</t>
    <phoneticPr fontId="1" type="noConversion"/>
  </si>
  <si>
    <t>更新内容</t>
    <phoneticPr fontId="1" type="noConversion"/>
  </si>
  <si>
    <t>beta 0.0.1</t>
    <phoneticPr fontId="1" type="noConversion"/>
  </si>
  <si>
    <t>日期</t>
    <phoneticPr fontId="1" type="noConversion"/>
  </si>
  <si>
    <t>2022.5.4 20:10</t>
    <phoneticPr fontId="1" type="noConversion"/>
  </si>
  <si>
    <t>现在时间:</t>
    <phoneticPr fontId="1" type="noConversion"/>
  </si>
  <si>
    <t>Welcome Page</t>
    <phoneticPr fontId="1" type="noConversion"/>
  </si>
  <si>
    <t>时间计算区</t>
    <phoneticPr fontId="1" type="noConversion"/>
  </si>
  <si>
    <t>拆分</t>
    <phoneticPr fontId="1" type="noConversion"/>
  </si>
  <si>
    <t>时</t>
    <phoneticPr fontId="1" type="noConversion"/>
  </si>
  <si>
    <t>分</t>
    <phoneticPr fontId="1" type="noConversion"/>
  </si>
  <si>
    <t>秒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</si>
  <si>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</si>
  <si>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</si>
  <si>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</si>
  <si>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判断</t>
    <phoneticPr fontId="1" type="noConversion"/>
  </si>
  <si>
    <t>beta 0.0.2</t>
    <phoneticPr fontId="1" type="noConversion"/>
  </si>
  <si>
    <t>1.往欢迎页里塞了点东西</t>
    <phoneticPr fontId="1" type="noConversion"/>
  </si>
  <si>
    <t>beta 0.0.3-pre1</t>
    <phoneticPr fontId="1" type="noConversion"/>
  </si>
  <si>
    <t>1.尝试添加宏(但是很可能失败)  2.改变了后缀名</t>
    <phoneticPr fontId="1" type="noConversion"/>
  </si>
  <si>
    <t>欢迎页</t>
    <phoneticPr fontId="1" type="noConversion"/>
  </si>
  <si>
    <t>beta 0.0.3-pre2</t>
    <phoneticPr fontId="1" type="noConversion"/>
  </si>
  <si>
    <t>1.增加了时间实时显示功能</t>
    <phoneticPr fontId="1" type="noConversion"/>
  </si>
  <si>
    <t>1.修复了实时显示按钮点击后卡死的bug  2.更改了按钮颜色  3.尝试改回原来的后缀名</t>
    <phoneticPr fontId="1" type="noConversion"/>
  </si>
  <si>
    <t>beta 0.0.3-rc1</t>
    <phoneticPr fontId="1" type="noConversion"/>
  </si>
  <si>
    <t>beta 0.0.3</t>
    <phoneticPr fontId="1" type="noConversion"/>
  </si>
  <si>
    <t>beta 0.0.4</t>
    <phoneticPr fontId="1" type="noConversion"/>
  </si>
  <si>
    <t>2022.5.6 11:10</t>
    <phoneticPr fontId="1" type="noConversion"/>
  </si>
  <si>
    <t>1.修复版本更新区的日期错误</t>
    <phoneticPr fontId="1" type="noConversion"/>
  </si>
  <si>
    <t>2022.5.5 14:15</t>
    <phoneticPr fontId="1" type="noConversion"/>
  </si>
  <si>
    <t>2022.5.5 15:50</t>
    <phoneticPr fontId="1" type="noConversion"/>
  </si>
  <si>
    <t>2022.5.5 16:30</t>
    <phoneticPr fontId="1" type="noConversion"/>
  </si>
  <si>
    <t>2022.5.5 17:00</t>
    <phoneticPr fontId="1" type="noConversion"/>
  </si>
  <si>
    <t>2022.5.6 10:05</t>
    <phoneticPr fontId="1" type="noConversion"/>
  </si>
  <si>
    <t>您可以在右侧蓝色框内输入自己的一些信息，这样能够更了解你呢~</t>
    <phoneticPr fontId="1" type="noConversion"/>
  </si>
  <si>
    <t>昵称</t>
    <phoneticPr fontId="1" type="noConversion"/>
  </si>
  <si>
    <t>性别</t>
    <phoneticPr fontId="1" type="noConversion"/>
  </si>
  <si>
    <t>女</t>
    <phoneticPr fontId="1" type="noConversion"/>
  </si>
  <si>
    <t>beta 0.0.5</t>
    <phoneticPr fontId="1" type="noConversion"/>
  </si>
  <si>
    <t>1.在欢迎页添加了信息输入区，并进行简单输出(后续会更新输出内容)</t>
    <phoneticPr fontId="1" type="noConversion"/>
  </si>
  <si>
    <t>2022.5.6 16:50</t>
    <phoneticPr fontId="1" type="noConversion"/>
  </si>
  <si>
    <t>留空区</t>
    <phoneticPr fontId="1" type="noConversion"/>
  </si>
  <si>
    <t>beta 0.1.0</t>
    <phoneticPr fontId="1" type="noConversion"/>
  </si>
  <si>
    <t>Chapter 5 霓虹灯牌</t>
    <phoneticPr fontId="1" type="noConversion"/>
  </si>
  <si>
    <t>1.3.0前 &amp; N/A</t>
    <phoneticPr fontId="1" type="noConversion"/>
  </si>
  <si>
    <t>1.最基础的Phigros功能,用户只需输入分数和最大连击数即可获得Acc和等级判定(仅过去的章节可知Acc)  2.添加了计算页和欢迎页</t>
    <phoneticPr fontId="1" type="noConversion"/>
  </si>
  <si>
    <t>1.又把后缀改了回去  2.去掉了按钮  3.彻底完成了时间实时显示系统  4.为适配手机或无vba插件的用户增添了NoMacro版本(.NoMacro版本有些功能无法使用)</t>
    <phoneticPr fontId="1" type="noConversion"/>
  </si>
  <si>
    <t>1.统一了总览页填入区的行高  2.增加了总览页隐藏曲区的一些输出内容  3.修复了总览页第五章题目错误  4.修改了隐藏曲Winter↑Cube↓ (Original mix)所需版本  5.修改了一些更新内容</t>
    <phoneticPr fontId="1" type="noConversion"/>
  </si>
  <si>
    <t>2022.5.7 23:20</t>
    <phoneticPr fontId="1" type="noConversion"/>
  </si>
  <si>
    <t>随机数区</t>
    <phoneticPr fontId="1" type="noConversion"/>
  </si>
  <si>
    <t>欢迎页
随机数</t>
    <phoneticPr fontId="1" type="noConversion"/>
  </si>
  <si>
    <t>随机昵称区</t>
    <phoneticPr fontId="1" type="noConversion"/>
  </si>
  <si>
    <t>椰叶</t>
    <phoneticPr fontId="1" type="noConversion"/>
  </si>
  <si>
    <t>GUEST</t>
    <phoneticPr fontId="1" type="noConversion"/>
  </si>
  <si>
    <t>鸠</t>
    <phoneticPr fontId="1" type="noConversion"/>
  </si>
  <si>
    <t>音游萌新</t>
    <phoneticPr fontId="1" type="noConversion"/>
  </si>
  <si>
    <t>音游大佬</t>
    <phoneticPr fontId="1" type="noConversion"/>
  </si>
  <si>
    <t>随机序号</t>
    <phoneticPr fontId="1" type="noConversion"/>
  </si>
  <si>
    <t>输出结果</t>
    <phoneticPr fontId="1" type="noConversion"/>
  </si>
  <si>
    <t>beta 0.1.1</t>
    <phoneticPr fontId="1" type="noConversion"/>
  </si>
  <si>
    <t>1.修复了Miracle Forest (VIP Mix)的Legacy和AT等级写串了的错误  2.修复了过去的章节的IN等级的Acc计算错误  3.增加了欢迎页的随机昵称功能</t>
    <phoneticPr fontId="1" type="noConversion"/>
  </si>
  <si>
    <t>2022.5.10 16:55</t>
    <phoneticPr fontId="1" type="noConversion"/>
  </si>
  <si>
    <t>beta 0.1.2-pre1</t>
    <phoneticPr fontId="1" type="noConversion"/>
  </si>
  <si>
    <t>1.修复了beta0.1.1更新错误</t>
    <phoneticPr fontId="1" type="noConversion"/>
  </si>
  <si>
    <t>MADE BY DRAGON_TS
未经允许，禁止抄袭或修改发布！</t>
    <phoneticPr fontId="1" type="noConversion"/>
  </si>
  <si>
    <t>beta 0.1.2-pre2</t>
    <phoneticPr fontId="1" type="noConversion"/>
  </si>
  <si>
    <t>2022.5.10 21:55</t>
    <phoneticPr fontId="1" type="noConversion"/>
  </si>
  <si>
    <t>2022.5.10 21:25</t>
    <phoneticPr fontId="1" type="noConversion"/>
  </si>
  <si>
    <t>1.修复版本更新区的日期错误  2.增加了署名以防止抄袭及二次发布</t>
    <phoneticPr fontId="1" type="noConversion"/>
  </si>
  <si>
    <t>beta 0.1.2</t>
    <phoneticPr fontId="1" type="noConversion"/>
  </si>
  <si>
    <t>2022.6.1 10:15</t>
    <phoneticPr fontId="1" type="noConversion"/>
  </si>
  <si>
    <t>/                                                                                                                                                                                                                                                                                        /</t>
    <phoneticPr fontId="1" type="noConversion"/>
  </si>
  <si>
    <t>感谢
-RuiKe-提供计算支持!
Canbcks提供技术支持!</t>
    <phoneticPr fontId="1" type="noConversion"/>
  </si>
  <si>
    <t>感谢名单</t>
    <phoneticPr fontId="1" type="noConversion"/>
  </si>
  <si>
    <t>beta 0.1.3</t>
    <phoneticPr fontId="1" type="noConversion"/>
  </si>
  <si>
    <t>2022.6.19 17:45</t>
    <phoneticPr fontId="1" type="noConversion"/>
  </si>
  <si>
    <t>beta 0.1.4-dev1</t>
    <phoneticPr fontId="1" type="noConversion"/>
  </si>
  <si>
    <t>1.更改了所有曲目HD等级的颜色以区分用户可否在此填写  2.更改了Glaciaxion区的函数用以测试  3.增加了感谢名单</t>
    <phoneticPr fontId="1" type="noConversion"/>
  </si>
  <si>
    <t>1.修复了beta0.1.3更新错误  2.更改了所有Max Combo的单元格格式  3.更改了所有曲目EZ等级的颜色以区分用户可否在此填写</t>
    <phoneticPr fontId="1" type="noConversion"/>
  </si>
  <si>
    <t>2022.6.20 21:50</t>
    <phoneticPr fontId="1" type="noConversion"/>
  </si>
  <si>
    <t>beta 0.1.4-pre1</t>
    <phoneticPr fontId="1" type="noConversion"/>
  </si>
  <si>
    <t>2022.6.21 21:00</t>
    <phoneticPr fontId="1" type="noConversion"/>
  </si>
  <si>
    <t>1.更改了所有曲目IN,Legacy,AT等级的颜色以区分用户可否在此填写</t>
    <phoneticPr fontId="1" type="noConversion"/>
  </si>
  <si>
    <t>beta 0.1.4-pre2</t>
    <phoneticPr fontId="1" type="noConversion"/>
  </si>
  <si>
    <t>1.删去了一些意外留下的字符  2.去掉了位于总览Z1048576的未知填色格以减小文件大小</t>
    <phoneticPr fontId="1" type="noConversion"/>
  </si>
  <si>
    <t>2022.6.21 21:40</t>
    <phoneticPr fontId="1" type="noConversion"/>
  </si>
  <si>
    <t>beta 0.1.4</t>
    <phoneticPr fontId="1" type="noConversion"/>
  </si>
  <si>
    <t>2022.6.25 12:45</t>
    <phoneticPr fontId="1" type="noConversion"/>
  </si>
  <si>
    <t>1.添加了过去的章节Max Combo的函数并删除了Acc函数,此后可以通过输入分数和Acc来获得Max Combo  2.删去了Glaciaxion的IN等级的分数</t>
    <phoneticPr fontId="1" type="noConversion"/>
  </si>
  <si>
    <t>beta 0.1.5-pre1</t>
    <phoneticPr fontId="1" type="noConversion"/>
  </si>
  <si>
    <t>2022.6.25 20:20</t>
    <phoneticPr fontId="1" type="noConversion"/>
  </si>
  <si>
    <t>1.删除了总览页无用单元格以减小文件大小</t>
    <phoneticPr fontId="1" type="noConversion"/>
  </si>
  <si>
    <t>beta 0.1.5</t>
    <phoneticPr fontId="1" type="noConversion"/>
  </si>
  <si>
    <t>Chapter EX-Lanota 精选集</t>
    <phoneticPr fontId="1" type="noConversion"/>
  </si>
  <si>
    <t>Apocalypse</t>
    <phoneticPr fontId="1" type="noConversion"/>
  </si>
  <si>
    <t>Protoflicker</t>
    <phoneticPr fontId="1" type="noConversion"/>
  </si>
  <si>
    <t>Horizon Blue</t>
    <phoneticPr fontId="1" type="noConversion"/>
  </si>
  <si>
    <t>You are the Miserable</t>
    <phoneticPr fontId="1" type="noConversion"/>
  </si>
  <si>
    <t>Stasis</t>
    <phoneticPr fontId="1" type="noConversion"/>
  </si>
  <si>
    <t>1.增加了总览页隐藏曲区的一些输出内容  2.更改了总览页Chapter Ex-Rising Sun Traxx精选集,Side Story 2 弭刻日下的行高  3.增加了Chapter EX-Lanota 精选集</t>
    <phoneticPr fontId="1" type="noConversion"/>
  </si>
  <si>
    <t>2022.6.28 14:45</t>
    <phoneticPr fontId="1" type="noConversion"/>
  </si>
  <si>
    <t>beta 0.1.6</t>
    <phoneticPr fontId="1" type="noConversion"/>
  </si>
  <si>
    <t>I Must Say No</t>
    <phoneticPr fontId="1" type="noConversion"/>
  </si>
  <si>
    <t>opia</t>
    <phoneticPr fontId="1" type="noConversion"/>
  </si>
  <si>
    <t>1.更改了单曲集的排序  2.增加了I Must Say No和opia两首单曲</t>
    <phoneticPr fontId="1" type="noConversion"/>
  </si>
  <si>
    <t>2022.6.29 8:50</t>
    <phoneticPr fontId="1" type="noConversion"/>
  </si>
  <si>
    <t>beta 0.2.0-dev1</t>
    <phoneticPr fontId="1" type="noConversion"/>
  </si>
  <si>
    <t>1.增加了Chapter 4 管道迷宫和Chapter 5 霓虹灯牌的Max Combo计算函数</t>
    <phoneticPr fontId="1" type="noConversion"/>
  </si>
  <si>
    <t>2022.6.29 18:15</t>
    <phoneticPr fontId="1" type="noConversion"/>
  </si>
  <si>
    <t>beta 0.2.0-dev2</t>
    <phoneticPr fontId="1" type="noConversion"/>
  </si>
  <si>
    <t>2022.7.3 19:00</t>
    <phoneticPr fontId="1" type="noConversion"/>
  </si>
  <si>
    <t>1.增加了Chapter 6 方舟蜃景和Chapter 7 时钟链接的Max Combo计算函数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</si>
</sst>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804]aaaa;@"/>
    <numFmt numFmtId="177" formatCode="yyyy/m/d\ h:mm:ss"/>
    <numFmt numFmtId="178" formatCode="00"/>
    <numFmt numFmtId="179" formatCode="0.00_ "/>
    <numFmt numFmtId="180" formatCode="0_ "/>
    <numFmt numFmtId="181" formatCode="0_);[Red]\(0\)"/>
  </numFmts>
  <fonts count="5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34"/>
      <color theme="1"/>
      <name val="我的小可爱啊"/>
      <family val="3"/>
      <charset val="134"/>
    </font>
    <font>
      <sz val="16"/>
      <color theme="1"/>
      <name val="方正喵呜简体"/>
      <family val="3"/>
      <charset val="134"/>
    </font>
    <font>
      <sz val="14"/>
      <color theme="1"/>
      <name val="方正喵呜简体"/>
      <family val="3"/>
      <charset val="134"/>
    </font>
    <font>
      <sz val="11"/>
      <color theme="1"/>
      <name val="早安晚安体"/>
      <family val="3"/>
      <charset val="134"/>
    </font>
    <font>
      <sz val="9"/>
      <color theme="1"/>
      <name val="等线"/>
      <family val="2"/>
      <scheme val="minor"/>
    </font>
    <font>
      <sz val="7.5"/>
      <color theme="1"/>
      <name val="等线"/>
      <family val="2"/>
      <scheme val="minor"/>
    </font>
    <font>
      <sz val="10"/>
      <color theme="1"/>
      <name val="等线"/>
      <family val="2"/>
      <scheme val="minor"/>
    </font>
    <font>
      <sz val="8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5"/>
      <color theme="1"/>
      <name val="等线"/>
      <family val="3"/>
      <charset val="134"/>
      <scheme val="minor"/>
    </font>
    <font>
      <sz val="11"/>
      <color theme="1"/>
      <name val="Segoe UI Symbol"/>
      <family val="2"/>
    </font>
    <font>
      <sz val="9"/>
      <color theme="1"/>
      <name val="等线"/>
      <family val="3"/>
      <charset val="134"/>
      <scheme val="minor"/>
    </font>
    <font>
      <sz val="7"/>
      <color theme="1"/>
      <name val="等线"/>
      <family val="3"/>
      <charset val="134"/>
      <scheme val="minor"/>
    </font>
    <font>
      <sz val="8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sz val="8"/>
      <color theme="1"/>
      <name val="方正喵呜简体"/>
      <family val="3"/>
      <charset val="134"/>
    </font>
    <font>
      <sz val="11"/>
      <color rgb="FF222222"/>
      <name val="等线"/>
      <family val="3"/>
      <charset val="134"/>
      <scheme val="minor"/>
    </font>
    <font>
      <sz val="6"/>
      <color rgb="FF222222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6"/>
      <color theme="1"/>
      <name val="等线"/>
      <family val="3"/>
      <charset val="134"/>
      <scheme val="minor"/>
    </font>
    <font>
      <b/>
      <sz val="8"/>
      <color theme="1"/>
      <name val="方正喵呜简体"/>
      <family val="3"/>
      <charset val="134"/>
    </font>
    <font>
      <sz val="48"/>
      <color rgb="FFFF0000"/>
      <name val="等线"/>
      <family val="2"/>
      <scheme val="minor"/>
    </font>
    <font>
      <b/>
      <sz val="10"/>
      <color theme="1"/>
      <name val="方正喵呜简体"/>
      <family val="3"/>
      <charset val="134"/>
    </font>
    <font>
      <sz val="1"/>
      <color rgb="FFEEE685"/>
      <name val="等线"/>
      <family val="2"/>
      <scheme val="minor"/>
    </font>
    <font>
      <sz val="6"/>
      <color theme="1"/>
      <name val="等线"/>
      <family val="3"/>
      <charset val="134"/>
      <scheme val="minor"/>
    </font>
    <font>
      <sz val="24"/>
      <color theme="1"/>
      <name val="等线"/>
      <family val="2"/>
      <scheme val="minor"/>
    </font>
    <font>
      <sz val="24"/>
      <color theme="1"/>
      <name val="等线"/>
      <family val="3"/>
      <charset val="134"/>
      <scheme val="minor"/>
    </font>
    <font>
      <sz val="18"/>
      <color theme="1"/>
      <name val="等线 Light"/>
      <family val="3"/>
      <charset val="134"/>
      <scheme val="major"/>
    </font>
    <font>
      <sz val="14"/>
      <color theme="1"/>
      <name val="等线"/>
      <family val="2"/>
      <scheme val="minor"/>
    </font>
    <font>
      <sz val="11"/>
      <name val="等线"/>
      <family val="3"/>
      <charset val="134"/>
      <scheme val="minor"/>
    </font>
    <font>
      <sz val="28"/>
      <color theme="1"/>
      <name val="等线"/>
      <family val="2"/>
      <scheme val="minor"/>
    </font>
    <font>
      <sz val="11"/>
      <name val="等线"/>
      <family val="2"/>
      <scheme val="minor"/>
    </font>
    <font>
      <u/>
      <sz val="11"/>
      <name val="等线"/>
      <family val="3"/>
      <charset val="134"/>
      <scheme val="minor"/>
    </font>
    <font>
      <sz val="7"/>
      <color theme="1"/>
      <name val="等线"/>
      <family val="2"/>
      <scheme val="minor"/>
    </font>
    <font>
      <sz val="20"/>
      <color theme="1"/>
      <name val="幼圆"/>
      <family val="3"/>
      <charset val="134"/>
    </font>
    <font>
      <b/>
      <sz val="18"/>
      <color rgb="FF0070C0"/>
      <name val="等线"/>
      <family val="3"/>
      <charset val="134"/>
      <scheme val="minor"/>
    </font>
    <font>
      <b/>
      <sz val="18"/>
      <color rgb="FFFF7979"/>
      <name val="等线"/>
      <family val="3"/>
      <charset val="134"/>
      <scheme val="minor"/>
    </font>
    <font>
      <b/>
      <sz val="11"/>
      <color rgb="FF7030A0"/>
      <name val="等线"/>
      <family val="3"/>
      <charset val="134"/>
      <scheme val="minor"/>
    </font>
    <font>
      <b/>
      <sz val="24"/>
      <color rgb="FF7030A0"/>
      <name val="幼圆"/>
      <family val="3"/>
      <charset val="134"/>
    </font>
    <font>
      <b/>
      <sz val="28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4"/>
      <color rgb="FF99CCFF"/>
      <name val="我的小可爱啊"/>
      <family val="3"/>
      <charset val="134"/>
    </font>
    <font>
      <sz val="10"/>
      <color rgb="FF339966"/>
      <name val="等线"/>
      <family val="3"/>
      <charset val="134"/>
    </font>
    <font>
      <sz val="18"/>
      <color theme="1"/>
      <name val="等线"/>
      <family val="2"/>
      <scheme val="minor"/>
    </font>
    <font>
      <sz val="18"/>
      <color theme="1"/>
      <name val="等线"/>
      <family val="3"/>
      <charset val="134"/>
      <scheme val="minor"/>
    </font>
    <font>
      <b/>
      <sz val="14"/>
      <color rgb="FF0070C0"/>
      <name val="幼圆"/>
      <family val="3"/>
      <charset val="134"/>
    </font>
    <font>
      <sz val="22"/>
      <color theme="1"/>
      <name val="早安晚安体"/>
      <family val="3"/>
      <charset val="134"/>
    </font>
    <font>
      <b/>
      <sz val="20"/>
      <color rgb="FF7030A0"/>
      <name val="方正喵呜简体"/>
      <family val="3"/>
      <charset val="134"/>
    </font>
    <font>
      <sz val="12"/>
      <color theme="1"/>
      <name val="等线"/>
      <family val="2"/>
      <scheme val="minor"/>
    </font>
    <font>
      <sz val="28"/>
      <color theme="1"/>
      <name val="等线"/>
      <family val="3"/>
      <charset val="134"/>
      <scheme val="minor"/>
    </font>
    <font>
      <sz val="28"/>
      <color theme="1"/>
      <name val="幼圆"/>
      <family val="3"/>
      <charset val="134"/>
    </font>
  </fonts>
  <fills count="2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99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3E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B870B8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83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20" fillId="6" borderId="1" xfId="0" applyFont="1" applyFill="1" applyBorder="1" applyAlignment="1">
      <alignment horizontal="center" vertical="center"/>
    </xf>
    <xf numFmtId="0" fontId="2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24" fillId="7" borderId="1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0" fillId="8" borderId="1" xfId="0" applyFont="1" applyFill="1" applyBorder="1" applyAlignment="1">
      <alignment horizontal="center" vertical="center"/>
    </xf>
    <xf numFmtId="0" fontId="0" fillId="8" borderId="1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vertical="center"/>
    </xf>
    <xf numFmtId="0" fontId="0" fillId="7" borderId="0" xfId="0" applyFill="1"/>
    <xf numFmtId="0" fontId="25" fillId="7" borderId="0" xfId="0" applyFont="1" applyFill="1"/>
    <xf numFmtId="0" fontId="0" fillId="5" borderId="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0" fontId="20" fillId="3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20" fillId="4" borderId="1" xfId="0" applyNumberFormat="1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10" fontId="0" fillId="9" borderId="1" xfId="0" applyNumberFormat="1" applyFill="1" applyBorder="1" applyAlignment="1">
      <alignment horizontal="center" vertical="center"/>
    </xf>
    <xf numFmtId="10" fontId="0" fillId="8" borderId="1" xfId="0" applyNumberForma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10" fontId="30" fillId="7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0" fontId="0" fillId="5" borderId="1" xfId="0" applyNumberFormat="1" applyFill="1" applyBorder="1" applyAlignment="1">
      <alignment horizontal="center" vertical="center"/>
    </xf>
    <xf numFmtId="0" fontId="33" fillId="8" borderId="1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4" fillId="8" borderId="1" xfId="1" applyFont="1" applyFill="1" applyBorder="1" applyAlignment="1">
      <alignment horizontal="center" vertical="center"/>
    </xf>
    <xf numFmtId="0" fontId="31" fillId="8" borderId="1" xfId="1" applyFont="1" applyFill="1" applyBorder="1" applyAlignment="1">
      <alignment horizontal="center" vertical="center"/>
    </xf>
    <xf numFmtId="0" fontId="20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0" fillId="15" borderId="0" xfId="0" applyFill="1"/>
    <xf numFmtId="0" fontId="0" fillId="11" borderId="0" xfId="0" applyFill="1"/>
    <xf numFmtId="0" fontId="0" fillId="11" borderId="0" xfId="0" applyFill="1" applyBorder="1"/>
    <xf numFmtId="22" fontId="0" fillId="11" borderId="0" xfId="0" applyNumberFormat="1" applyFill="1"/>
    <xf numFmtId="0" fontId="47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5" fillId="3" borderId="4" xfId="0" applyFont="1" applyFill="1" applyBorder="1" applyAlignment="1">
      <alignment vertical="center"/>
    </xf>
    <xf numFmtId="0" fontId="20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7" borderId="0" xfId="0" applyFill="1"/>
    <xf numFmtId="0" fontId="0" fillId="17" borderId="0" xfId="0" applyFill="1" applyBorder="1" applyAlignment="1">
      <alignment wrapText="1"/>
    </xf>
    <xf numFmtId="0" fontId="0" fillId="7" borderId="0" xfId="0" applyFill="1" applyAlignment="1">
      <alignment horizontal="left"/>
    </xf>
    <xf numFmtId="0" fontId="0" fillId="16" borderId="1" xfId="0" applyFill="1" applyBorder="1" applyAlignment="1">
      <alignment horizontal="center" vertical="center"/>
    </xf>
    <xf numFmtId="181" fontId="0" fillId="16" borderId="1" xfId="0" applyNumberFormat="1" applyFill="1" applyBorder="1" applyAlignment="1">
      <alignment horizontal="center" vertical="center"/>
    </xf>
    <xf numFmtId="180" fontId="0" fillId="9" borderId="1" xfId="0" applyNumberFormat="1" applyFont="1" applyFill="1" applyBorder="1" applyAlignment="1">
      <alignment horizontal="center" vertical="center"/>
    </xf>
    <xf numFmtId="180" fontId="0" fillId="16" borderId="1" xfId="0" applyNumberFormat="1" applyFont="1" applyFill="1" applyBorder="1" applyAlignment="1">
      <alignment horizontal="center" vertical="center"/>
    </xf>
    <xf numFmtId="180" fontId="20" fillId="16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181" fontId="0" fillId="19" borderId="1" xfId="0" applyNumberFormat="1" applyFill="1" applyBorder="1" applyAlignment="1">
      <alignment horizontal="center" vertical="center"/>
    </xf>
    <xf numFmtId="180" fontId="20" fillId="19" borderId="1" xfId="0" applyNumberFormat="1" applyFont="1" applyFill="1" applyBorder="1" applyAlignment="1">
      <alignment horizontal="center" vertical="center"/>
    </xf>
    <xf numFmtId="180" fontId="0" fillId="19" borderId="2" xfId="0" applyNumberFormat="1" applyFont="1" applyFill="1" applyBorder="1" applyAlignment="1">
      <alignment horizontal="center" vertical="center"/>
    </xf>
    <xf numFmtId="180" fontId="0" fillId="19" borderId="1" xfId="0" applyNumberFormat="1" applyFont="1" applyFill="1" applyBorder="1" applyAlignment="1">
      <alignment horizontal="center" vertical="center"/>
    </xf>
    <xf numFmtId="0" fontId="0" fillId="20" borderId="1" xfId="0" applyFill="1" applyBorder="1" applyAlignment="1">
      <alignment horizontal="center" vertical="center"/>
    </xf>
    <xf numFmtId="181" fontId="0" fillId="20" borderId="1" xfId="0" applyNumberForma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181" fontId="0" fillId="21" borderId="1" xfId="0" applyNumberFormat="1" applyFill="1" applyBorder="1" applyAlignment="1">
      <alignment horizontal="center" vertical="center"/>
    </xf>
    <xf numFmtId="180" fontId="20" fillId="21" borderId="1" xfId="0" applyNumberFormat="1" applyFont="1" applyFill="1" applyBorder="1" applyAlignment="1">
      <alignment horizontal="center" vertical="center"/>
    </xf>
    <xf numFmtId="180" fontId="20" fillId="20" borderId="1" xfId="0" applyNumberFormat="1" applyFont="1" applyFill="1" applyBorder="1" applyAlignment="1">
      <alignment horizontal="center" vertical="center"/>
    </xf>
    <xf numFmtId="180" fontId="0" fillId="20" borderId="1" xfId="0" applyNumberFormat="1" applyFont="1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180" fontId="20" fillId="22" borderId="1" xfId="0" applyNumberFormat="1" applyFont="1" applyFill="1" applyBorder="1" applyAlignment="1">
      <alignment horizontal="center" vertical="center"/>
    </xf>
    <xf numFmtId="180" fontId="0" fillId="22" borderId="1" xfId="0" applyNumberFormat="1" applyFont="1" applyFill="1" applyBorder="1" applyAlignment="1">
      <alignment horizontal="center" vertical="center"/>
    </xf>
    <xf numFmtId="181" fontId="0" fillId="22" borderId="1" xfId="0" applyNumberFormat="1" applyFill="1" applyBorder="1" applyAlignment="1">
      <alignment horizontal="center" vertical="center"/>
    </xf>
    <xf numFmtId="179" fontId="50" fillId="11" borderId="5" xfId="0" applyNumberFormat="1" applyFont="1" applyFill="1" applyBorder="1" applyAlignment="1">
      <alignment horizontal="left" vertical="center"/>
    </xf>
    <xf numFmtId="0" fontId="41" fillId="11" borderId="0" xfId="0" applyFont="1" applyFill="1" applyBorder="1" applyAlignment="1">
      <alignment horizontal="center" vertical="center"/>
    </xf>
    <xf numFmtId="177" fontId="27" fillId="11" borderId="9" xfId="0" applyNumberFormat="1" applyFont="1" applyFill="1" applyBorder="1" applyAlignment="1">
      <alignment horizontal="center" vertical="center"/>
    </xf>
    <xf numFmtId="177" fontId="27" fillId="11" borderId="0" xfId="0" applyNumberFormat="1" applyFont="1" applyFill="1" applyBorder="1" applyAlignment="1">
      <alignment horizontal="center" vertical="center"/>
    </xf>
    <xf numFmtId="177" fontId="27" fillId="11" borderId="7" xfId="0" applyNumberFormat="1" applyFont="1" applyFill="1" applyBorder="1" applyAlignment="1">
      <alignment horizontal="center" vertical="center"/>
    </xf>
    <xf numFmtId="176" fontId="27" fillId="11" borderId="9" xfId="0" applyNumberFormat="1" applyFont="1" applyFill="1" applyBorder="1" applyAlignment="1">
      <alignment horizontal="center" vertical="center"/>
    </xf>
    <xf numFmtId="176" fontId="27" fillId="11" borderId="10" xfId="0" applyNumberFormat="1" applyFont="1" applyFill="1" applyBorder="1" applyAlignment="1">
      <alignment horizontal="center" vertical="center"/>
    </xf>
    <xf numFmtId="176" fontId="27" fillId="11" borderId="0" xfId="0" applyNumberFormat="1" applyFont="1" applyFill="1" applyBorder="1" applyAlignment="1">
      <alignment horizontal="center" vertical="center"/>
    </xf>
    <xf numFmtId="176" fontId="27" fillId="11" borderId="6" xfId="0" applyNumberFormat="1" applyFont="1" applyFill="1" applyBorder="1" applyAlignment="1">
      <alignment horizontal="center" vertical="center"/>
    </xf>
    <xf numFmtId="19" fontId="40" fillId="11" borderId="0" xfId="0" applyNumberFormat="1" applyFont="1" applyFill="1" applyAlignment="1">
      <alignment horizontal="center" vertical="center"/>
    </xf>
    <xf numFmtId="0" fontId="40" fillId="11" borderId="0" xfId="0" applyFont="1" applyFill="1" applyAlignment="1">
      <alignment horizontal="center" vertical="center"/>
    </xf>
    <xf numFmtId="0" fontId="39" fillId="11" borderId="0" xfId="0" applyFont="1" applyFill="1" applyAlignment="1">
      <alignment horizontal="center"/>
    </xf>
    <xf numFmtId="0" fontId="41" fillId="11" borderId="8" xfId="0" applyFont="1" applyFill="1" applyBorder="1" applyAlignment="1">
      <alignment horizontal="center" vertical="center"/>
    </xf>
    <xf numFmtId="0" fontId="41" fillId="11" borderId="9" xfId="0" applyFont="1" applyFill="1" applyBorder="1" applyAlignment="1">
      <alignment horizontal="center" vertical="center"/>
    </xf>
    <xf numFmtId="0" fontId="41" fillId="11" borderId="10" xfId="0" applyFont="1" applyFill="1" applyBorder="1" applyAlignment="1">
      <alignment horizontal="center" vertical="center"/>
    </xf>
    <xf numFmtId="0" fontId="41" fillId="11" borderId="5" xfId="0" applyFont="1" applyFill="1" applyBorder="1" applyAlignment="1">
      <alignment horizontal="center" vertical="center"/>
    </xf>
    <xf numFmtId="0" fontId="41" fillId="11" borderId="6" xfId="0" applyFont="1" applyFill="1" applyBorder="1" applyAlignment="1">
      <alignment horizontal="center" vertical="center"/>
    </xf>
    <xf numFmtId="0" fontId="48" fillId="11" borderId="1" xfId="0" applyFont="1" applyFill="1" applyBorder="1" applyAlignment="1">
      <alignment horizontal="left" vertical="top"/>
    </xf>
    <xf numFmtId="0" fontId="48" fillId="11" borderId="11" xfId="0" applyFont="1" applyFill="1" applyBorder="1" applyAlignment="1">
      <alignment horizontal="left" vertical="top"/>
    </xf>
    <xf numFmtId="0" fontId="49" fillId="16" borderId="1" xfId="0" applyFont="1" applyFill="1" applyBorder="1" applyAlignment="1">
      <alignment horizontal="center" vertical="center"/>
    </xf>
    <xf numFmtId="0" fontId="47" fillId="11" borderId="12" xfId="0" applyFont="1" applyFill="1" applyBorder="1" applyAlignment="1">
      <alignment horizontal="center" vertical="center"/>
    </xf>
    <xf numFmtId="0" fontId="47" fillId="11" borderId="13" xfId="0" applyFont="1" applyFill="1" applyBorder="1" applyAlignment="1">
      <alignment horizontal="center" vertical="center"/>
    </xf>
    <xf numFmtId="0" fontId="47" fillId="11" borderId="11" xfId="0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/>
    </xf>
    <xf numFmtId="0" fontId="43" fillId="11" borderId="0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5" xfId="0" applyFont="1" applyFill="1" applyBorder="1" applyAlignment="1">
      <alignment horizontal="center" vertical="center"/>
    </xf>
    <xf numFmtId="0" fontId="43" fillId="11" borderId="0" xfId="0" applyFont="1" applyFill="1" applyBorder="1" applyAlignment="1">
      <alignment horizontal="center" vertical="center"/>
    </xf>
    <xf numFmtId="0" fontId="43" fillId="11" borderId="6" xfId="0" applyFont="1" applyFill="1" applyBorder="1" applyAlignment="1">
      <alignment horizontal="center" vertical="center"/>
    </xf>
    <xf numFmtId="0" fontId="45" fillId="11" borderId="1" xfId="0" applyFont="1" applyFill="1" applyBorder="1" applyAlignment="1">
      <alignment horizontal="center" vertical="center" wrapText="1"/>
    </xf>
    <xf numFmtId="0" fontId="46" fillId="11" borderId="2" xfId="0" applyFont="1" applyFill="1" applyBorder="1" applyAlignment="1">
      <alignment horizontal="center" vertical="center" wrapText="1"/>
    </xf>
    <xf numFmtId="0" fontId="45" fillId="11" borderId="12" xfId="0" applyFont="1" applyFill="1" applyBorder="1" applyAlignment="1">
      <alignment horizontal="center" vertical="center" wrapText="1"/>
    </xf>
    <xf numFmtId="0" fontId="46" fillId="11" borderId="8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/>
    </xf>
    <xf numFmtId="0" fontId="20" fillId="11" borderId="3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0" fillId="4" borderId="3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0" fontId="20" fillId="5" borderId="3" xfId="0" applyFont="1" applyFill="1" applyBorder="1" applyAlignment="1">
      <alignment horizontal="center" vertical="center"/>
    </xf>
    <xf numFmtId="0" fontId="20" fillId="5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5" fillId="10" borderId="10" xfId="0" applyFont="1" applyFill="1" applyBorder="1" applyAlignment="1">
      <alignment horizontal="center" vertical="center"/>
    </xf>
    <xf numFmtId="0" fontId="52" fillId="17" borderId="0" xfId="0" applyFont="1" applyFill="1" applyAlignment="1">
      <alignment horizontal="center" vertical="center"/>
    </xf>
    <xf numFmtId="0" fontId="23" fillId="13" borderId="0" xfId="0" applyFont="1" applyFill="1" applyAlignment="1">
      <alignment horizontal="center" vertical="center"/>
    </xf>
    <xf numFmtId="0" fontId="27" fillId="12" borderId="0" xfId="0" quotePrefix="1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0" fillId="17" borderId="5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6" xfId="0" applyFill="1" applyBorder="1" applyAlignment="1">
      <alignment horizontal="center"/>
    </xf>
    <xf numFmtId="0" fontId="42" fillId="12" borderId="11" xfId="0" applyFont="1" applyFill="1" applyBorder="1" applyAlignment="1">
      <alignment horizontal="center" vertical="center"/>
    </xf>
    <xf numFmtId="0" fontId="42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7" borderId="0" xfId="0" applyFill="1" applyBorder="1" applyAlignment="1">
      <alignment horizontal="center" wrapText="1"/>
    </xf>
    <xf numFmtId="177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1" fillId="12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wrapText="1"/>
    </xf>
    <xf numFmtId="0" fontId="0" fillId="18" borderId="1" xfId="0" applyFill="1" applyBorder="1" applyAlignment="1">
      <alignment horizontal="center"/>
    </xf>
    <xf numFmtId="178" fontId="0" fillId="0" borderId="1" xfId="0" applyNumberFormat="1" applyBorder="1" applyAlignment="1">
      <alignment horizontal="center"/>
    </xf>
    <xf numFmtId="0" fontId="15" fillId="17" borderId="0" xfId="0" applyFont="1" applyFill="1" applyAlignment="1">
      <alignment horizontal="center" wrapText="1"/>
    </xf>
    <xf numFmtId="0" fontId="9" fillId="17" borderId="0" xfId="0" applyFont="1" applyFill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45" fillId="17" borderId="0" xfId="0" applyFont="1" applyFill="1" applyAlignment="1">
      <alignment horizontal="center" vertical="center" wrapText="1"/>
    </xf>
    <xf numFmtId="0" fontId="46" fillId="17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3" borderId="3" xfId="0" applyFont="1" applyFill="1" applyBorder="1" applyAlignment="1">
      <alignment horizontal="center" vertical="center"/>
    </xf>
    <xf numFmtId="0" fontId="38" fillId="3" borderId="4" xfId="0" applyFont="1" applyFill="1" applyBorder="1" applyAlignment="1">
      <alignment horizontal="center" vertical="center"/>
    </xf>
    <xf numFmtId="0" fontId="36" fillId="15" borderId="0" xfId="0" applyFont="1" applyFill="1" applyBorder="1" applyAlignment="1">
      <alignment horizontal="center" vertical="center"/>
    </xf>
    <xf numFmtId="0" fontId="36" fillId="15" borderId="1" xfId="0" applyFont="1" applyFill="1" applyBorder="1" applyAlignment="1">
      <alignment horizontal="center" vertical="center"/>
    </xf>
    <xf numFmtId="0" fontId="37" fillId="12" borderId="1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FF7D7D"/>
      <color rgb="FFB870B8"/>
      <color rgb="FFFF9F9F"/>
      <color rgb="FFFFAFAF"/>
      <color rgb="FFE7F1F9"/>
      <color rgb="FFEEE685"/>
      <color rgb="FF99FF66"/>
      <color rgb="FFCC00CC"/>
      <color rgb="FFFFE3E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7</xdr:row>
          <xdr:rowOff>19050</xdr:rowOff>
        </xdr:from>
        <xdr:to>
          <xdr:col>12</xdr:col>
          <xdr:colOff>142875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点击自动刷新时间</a:t>
              </a:r>
            </a:p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339966"/>
                  </a:solidFill>
                  <a:latin typeface="等线"/>
                  <a:ea typeface="等线"/>
                </a:rPr>
                <a:t>(可能会消耗性能)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D22E-1712-46B1-9EE4-87C2A5E53CA5}">
  <sheetPr codeName="Sheet1"/>
  <dimension ref="A1:W87"/>
  <sheetViews>
    <sheetView zoomScale="85" zoomScaleNormal="85" workbookViewId="0">
      <selection activeCell="B11" sqref="B11:E13"/>
    </sheetView>
  </sheetViews>
  <sheetFormatPr defaultRowHeight="14.25" x14ac:dyDescent="0.2"/>
  <cols>
    <col min="1" max="1" width="24.75" customWidth="1"/>
    <col min="20" max="20" width="18.75" customWidth="1"/>
  </cols>
  <sheetData>
    <row r="1" spans="1:23" x14ac:dyDescent="0.2">
      <c r="A1" s="104" t="s">
        <v>207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65"/>
      <c r="U1" s="63"/>
      <c r="V1" s="63"/>
      <c r="W1" s="63"/>
    </row>
    <row r="2" spans="1:23" x14ac:dyDescent="0.2">
      <c r="A2" s="105"/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63"/>
      <c r="U2" s="63"/>
      <c r="V2" s="63"/>
      <c r="W2" s="63"/>
    </row>
    <row r="3" spans="1:23" x14ac:dyDescent="0.2">
      <c r="A3" s="105"/>
      <c r="B3" s="105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63"/>
      <c r="U3" s="63"/>
      <c r="V3" s="63"/>
      <c r="W3" s="63"/>
    </row>
    <row r="4" spans="1:23" x14ac:dyDescent="0.2">
      <c r="A4" s="105"/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63"/>
      <c r="U4" s="63"/>
      <c r="V4" s="63"/>
      <c r="W4" s="63"/>
    </row>
    <row r="5" spans="1:23" x14ac:dyDescent="0.2">
      <c r="A5" s="106" t="s">
        <v>193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63"/>
      <c r="U5" s="63"/>
      <c r="V5" s="63"/>
      <c r="W5" s="63"/>
    </row>
    <row r="6" spans="1:23" x14ac:dyDescent="0.2">
      <c r="A6" s="63"/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2">
      <c r="A7" s="63"/>
      <c r="B7" s="63"/>
      <c r="C7" s="63"/>
      <c r="D7" s="63"/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ht="14.25" customHeight="1" x14ac:dyDescent="0.2">
      <c r="A8" s="96"/>
      <c r="B8" s="107" t="s">
        <v>192</v>
      </c>
      <c r="C8" s="108"/>
      <c r="D8" s="108"/>
      <c r="E8" s="108"/>
      <c r="F8" s="109"/>
      <c r="G8" s="97">
        <f ca="1">NOW()</f>
        <v>44745.791789930554</v>
      </c>
      <c r="H8" s="97"/>
      <c r="I8" s="97"/>
      <c r="J8" s="97"/>
      <c r="K8" s="97"/>
      <c r="L8" s="100">
        <f ca="1">NOW()</f>
        <v>44745.791789930554</v>
      </c>
      <c r="M8" s="100"/>
      <c r="N8" s="100"/>
      <c r="O8" s="100"/>
      <c r="P8" s="101"/>
      <c r="Q8" s="63"/>
      <c r="R8" s="63"/>
      <c r="S8" s="63"/>
      <c r="T8" s="63"/>
      <c r="U8" s="63"/>
      <c r="V8" s="63"/>
      <c r="W8" s="63"/>
    </row>
    <row r="9" spans="1:23" ht="14.25" customHeight="1" x14ac:dyDescent="0.2">
      <c r="A9" s="96"/>
      <c r="B9" s="110"/>
      <c r="C9" s="96"/>
      <c r="D9" s="96"/>
      <c r="E9" s="96"/>
      <c r="F9" s="111"/>
      <c r="G9" s="98"/>
      <c r="H9" s="98"/>
      <c r="I9" s="98"/>
      <c r="J9" s="98"/>
      <c r="K9" s="98"/>
      <c r="L9" s="102"/>
      <c r="M9" s="102"/>
      <c r="N9" s="102"/>
      <c r="O9" s="102"/>
      <c r="P9" s="103"/>
      <c r="Q9" s="63"/>
      <c r="R9" s="63"/>
      <c r="S9" s="63"/>
      <c r="T9" s="63"/>
      <c r="U9" s="63"/>
      <c r="V9" s="63"/>
      <c r="W9" s="63"/>
    </row>
    <row r="10" spans="1:23" ht="65.25" customHeight="1" x14ac:dyDescent="0.2">
      <c r="A10" s="96"/>
      <c r="B10" s="110"/>
      <c r="C10" s="96"/>
      <c r="D10" s="96"/>
      <c r="E10" s="96"/>
      <c r="F10" s="111"/>
      <c r="G10" s="99"/>
      <c r="H10" s="99"/>
      <c r="I10" s="99"/>
      <c r="J10" s="99"/>
      <c r="K10" s="99"/>
      <c r="L10" s="102"/>
      <c r="M10" s="102"/>
      <c r="N10" s="102"/>
      <c r="O10" s="102"/>
      <c r="P10" s="103"/>
      <c r="Q10" s="63"/>
      <c r="R10" s="63"/>
      <c r="S10" s="63"/>
      <c r="T10" s="63"/>
      <c r="U10" s="63"/>
      <c r="V10" s="63"/>
      <c r="W10" s="63"/>
    </row>
    <row r="11" spans="1:23" x14ac:dyDescent="0.2">
      <c r="A11" s="64"/>
      <c r="B11" s="121" t="str">
        <f ca="1">计算区!T14</f>
        <v>晚上好</v>
      </c>
      <c r="C11" s="122"/>
      <c r="D11" s="122"/>
      <c r="E11" s="123"/>
      <c r="F11" s="124" t="s">
        <v>221</v>
      </c>
      <c r="G11" s="124"/>
      <c r="H11" s="124"/>
      <c r="I11" s="124"/>
      <c r="J11" s="124"/>
      <c r="K11" s="125"/>
      <c r="L11" s="115" t="s">
        <v>222</v>
      </c>
      <c r="M11" s="114" t="str">
        <f ca="1">计算区!U34</f>
        <v>鸠</v>
      </c>
      <c r="N11" s="114"/>
      <c r="O11" s="114"/>
      <c r="P11" s="114"/>
      <c r="Q11" s="95" t="str">
        <f ca="1">IF(M11="小可爱","←例","")</f>
        <v/>
      </c>
      <c r="R11" s="63"/>
      <c r="S11" s="63"/>
      <c r="T11" s="63"/>
      <c r="U11" s="63"/>
      <c r="V11" s="63"/>
      <c r="W11" s="63"/>
    </row>
    <row r="12" spans="1:23" x14ac:dyDescent="0.2">
      <c r="A12" s="63"/>
      <c r="B12" s="121"/>
      <c r="C12" s="122"/>
      <c r="D12" s="122"/>
      <c r="E12" s="123"/>
      <c r="F12" s="124"/>
      <c r="G12" s="124"/>
      <c r="H12" s="124"/>
      <c r="I12" s="124"/>
      <c r="J12" s="124"/>
      <c r="K12" s="125"/>
      <c r="L12" s="116"/>
      <c r="M12" s="114"/>
      <c r="N12" s="114"/>
      <c r="O12" s="114"/>
      <c r="P12" s="114"/>
      <c r="Q12" s="95"/>
      <c r="R12" s="63"/>
      <c r="S12" s="63"/>
      <c r="T12" s="63"/>
      <c r="U12" s="63"/>
      <c r="V12" s="63"/>
      <c r="W12" s="63"/>
    </row>
    <row r="13" spans="1:23" x14ac:dyDescent="0.2">
      <c r="A13" s="63"/>
      <c r="B13" s="121"/>
      <c r="C13" s="122"/>
      <c r="D13" s="122"/>
      <c r="E13" s="123"/>
      <c r="F13" s="124"/>
      <c r="G13" s="124"/>
      <c r="H13" s="124"/>
      <c r="I13" s="124"/>
      <c r="J13" s="124"/>
      <c r="K13" s="125"/>
      <c r="L13" s="117"/>
      <c r="M13" s="114"/>
      <c r="N13" s="114"/>
      <c r="O13" s="114"/>
      <c r="P13" s="114"/>
      <c r="Q13" s="95"/>
      <c r="R13" s="63"/>
      <c r="S13" s="63"/>
      <c r="T13" s="63"/>
      <c r="U13" s="63"/>
      <c r="V13" s="63"/>
      <c r="W13" s="63"/>
    </row>
    <row r="14" spans="1:23" ht="24.75" customHeight="1" x14ac:dyDescent="0.55000000000000004">
      <c r="A14" s="63"/>
      <c r="B14" s="118" t="str">
        <f ca="1">计算区!T16</f>
        <v>Good Evening</v>
      </c>
      <c r="C14" s="119"/>
      <c r="D14" s="119"/>
      <c r="E14" s="120"/>
      <c r="F14" s="126"/>
      <c r="G14" s="126"/>
      <c r="H14" s="126"/>
      <c r="I14" s="126"/>
      <c r="J14" s="126"/>
      <c r="K14" s="127"/>
      <c r="L14" s="66" t="s">
        <v>223</v>
      </c>
      <c r="M14" s="114" t="s">
        <v>224</v>
      </c>
      <c r="N14" s="114"/>
      <c r="O14" s="114"/>
      <c r="P14" s="114"/>
      <c r="Q14" s="95"/>
      <c r="R14" s="63"/>
      <c r="S14" s="63"/>
      <c r="T14" s="63"/>
      <c r="U14" s="63"/>
      <c r="V14" s="63"/>
      <c r="W14" s="63"/>
    </row>
    <row r="15" spans="1:23" x14ac:dyDescent="0.2">
      <c r="A15" s="63"/>
      <c r="B15" s="112" t="str">
        <f ca="1">"\\-OUTPUT-//   "&amp;"昵称: "&amp;M11&amp;"        性别: "&amp;M14&amp;"      rks: ???"</f>
        <v>\\-OUTPUT-//   昵称: 鸠        性别: 女      rks: ???</v>
      </c>
      <c r="C15" s="112"/>
      <c r="D15" s="112"/>
      <c r="E15" s="112"/>
      <c r="F15" s="112"/>
      <c r="G15" s="112"/>
      <c r="H15" s="112"/>
      <c r="I15" s="112"/>
      <c r="J15" s="112"/>
      <c r="K15" s="112"/>
      <c r="L15" s="113"/>
      <c r="M15" s="113"/>
      <c r="N15" s="113"/>
      <c r="O15" s="113"/>
      <c r="P15" s="113"/>
      <c r="Q15" s="63"/>
      <c r="R15" s="63"/>
      <c r="S15" s="63"/>
      <c r="T15" s="63"/>
      <c r="U15" s="63"/>
      <c r="V15" s="63"/>
      <c r="W15" s="63"/>
    </row>
    <row r="16" spans="1:23" x14ac:dyDescent="0.2">
      <c r="A16" s="63"/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63"/>
      <c r="R16" s="63"/>
      <c r="S16" s="63"/>
      <c r="T16" s="63"/>
      <c r="U16" s="63"/>
      <c r="V16" s="63"/>
      <c r="W16" s="63"/>
    </row>
    <row r="17" spans="1:23" x14ac:dyDescent="0.2">
      <c r="A17" s="63"/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63"/>
      <c r="R17" s="63"/>
      <c r="S17" s="63"/>
      <c r="T17" s="63"/>
      <c r="U17" s="63"/>
      <c r="V17" s="63"/>
      <c r="W17" s="63"/>
    </row>
    <row r="18" spans="1:23" x14ac:dyDescent="0.2">
      <c r="A18" s="63"/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63"/>
      <c r="R18" s="63"/>
      <c r="S18" s="63"/>
      <c r="T18" s="63"/>
      <c r="U18" s="63"/>
      <c r="V18" s="63"/>
      <c r="W18" s="63"/>
    </row>
    <row r="19" spans="1:23" x14ac:dyDescent="0.2">
      <c r="A19" s="63"/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63"/>
      <c r="R19" s="63"/>
      <c r="S19" s="63"/>
      <c r="T19" s="63"/>
      <c r="U19" s="63"/>
      <c r="V19" s="63"/>
      <c r="W19" s="63"/>
    </row>
    <row r="20" spans="1:23" x14ac:dyDescent="0.2">
      <c r="A20" s="63"/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63"/>
      <c r="R20" s="63"/>
      <c r="S20" s="63"/>
      <c r="T20" s="63"/>
      <c r="U20" s="63"/>
      <c r="V20" s="63"/>
      <c r="W20" s="63"/>
    </row>
    <row r="21" spans="1:23" x14ac:dyDescent="0.2">
      <c r="A21" s="63"/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112"/>
      <c r="M21" s="112"/>
      <c r="N21" s="112"/>
      <c r="O21" s="112"/>
      <c r="P21" s="112"/>
      <c r="Q21" s="63"/>
      <c r="R21" s="63"/>
      <c r="S21" s="63"/>
      <c r="T21" s="63"/>
      <c r="U21" s="63"/>
      <c r="V21" s="63"/>
      <c r="W21" s="63"/>
    </row>
    <row r="22" spans="1:23" x14ac:dyDescent="0.2">
      <c r="A22" s="63"/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63"/>
      <c r="R22" s="63"/>
      <c r="S22" s="63"/>
      <c r="T22" s="63"/>
      <c r="U22" s="63"/>
      <c r="V22" s="63"/>
      <c r="W22" s="63"/>
    </row>
    <row r="23" spans="1:23" x14ac:dyDescent="0.2">
      <c r="A23" s="63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63"/>
      <c r="R23" s="63"/>
      <c r="S23" s="63"/>
      <c r="T23" s="63"/>
      <c r="U23" s="63"/>
      <c r="V23" s="63"/>
      <c r="W23" s="63"/>
    </row>
    <row r="24" spans="1:23" x14ac:dyDescent="0.2">
      <c r="A24" s="63"/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112"/>
      <c r="M24" s="112"/>
      <c r="N24" s="112"/>
      <c r="O24" s="112"/>
      <c r="P24" s="112"/>
      <c r="Q24" s="63"/>
      <c r="R24" s="63"/>
      <c r="S24" s="63"/>
      <c r="T24" s="63"/>
      <c r="U24" s="63"/>
      <c r="V24" s="63"/>
      <c r="W24" s="63"/>
    </row>
    <row r="25" spans="1:23" x14ac:dyDescent="0.2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2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2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2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2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2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2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2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2">
      <c r="A33" s="63"/>
      <c r="B33" s="63"/>
      <c r="C33" s="63"/>
      <c r="D33" s="63"/>
      <c r="E33" s="63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2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2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x14ac:dyDescent="0.2">
      <c r="A36" s="63"/>
      <c r="B36" s="6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</row>
    <row r="37" spans="1:23" x14ac:dyDescent="0.2">
      <c r="A37" s="63"/>
      <c r="B37" s="6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</row>
    <row r="38" spans="1:23" x14ac:dyDescent="0.2">
      <c r="A38" s="63"/>
      <c r="B38" s="63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</row>
    <row r="39" spans="1:23" x14ac:dyDescent="0.2">
      <c r="A39" s="63"/>
      <c r="B39" s="63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2">
      <c r="A40" s="63"/>
      <c r="B40" s="63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2">
      <c r="A41" s="63"/>
      <c r="B41" s="63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2">
      <c r="A42" s="63"/>
      <c r="B42" s="63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x14ac:dyDescent="0.2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4" spans="1:23" x14ac:dyDescent="0.2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</row>
    <row r="45" spans="1:23" x14ac:dyDescent="0.2">
      <c r="A45" s="63"/>
      <c r="B45" s="63"/>
      <c r="C45" s="63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</row>
    <row r="46" spans="1:23" x14ac:dyDescent="0.2">
      <c r="A46" s="63"/>
      <c r="B46" s="63"/>
      <c r="C46" s="63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</row>
    <row r="47" spans="1:23" x14ac:dyDescent="0.2">
      <c r="A47" s="63"/>
      <c r="B47" s="63"/>
      <c r="C47" s="63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</row>
    <row r="48" spans="1:23" x14ac:dyDescent="0.2">
      <c r="A48" s="63"/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</row>
    <row r="49" spans="1:23" x14ac:dyDescent="0.2">
      <c r="A49" s="63"/>
      <c r="B49" s="63"/>
      <c r="C49" s="63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</row>
    <row r="50" spans="1:23" x14ac:dyDescent="0.2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</row>
    <row r="51" spans="1:23" x14ac:dyDescent="0.2">
      <c r="A51" s="63"/>
      <c r="B51" s="63"/>
      <c r="C51" s="63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</row>
    <row r="52" spans="1:23" x14ac:dyDescent="0.2">
      <c r="A52" s="63"/>
      <c r="B52" s="63"/>
      <c r="C52" s="63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2">
      <c r="A53" s="63"/>
      <c r="B53" s="63"/>
      <c r="C53" s="63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2">
      <c r="A54" s="63"/>
      <c r="B54" s="63"/>
      <c r="C54" s="63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2">
      <c r="A55" s="63"/>
      <c r="B55" s="63"/>
      <c r="C55" s="63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x14ac:dyDescent="0.2">
      <c r="A56" s="63"/>
      <c r="B56" s="63"/>
      <c r="C56" s="63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7" spans="1:23" x14ac:dyDescent="0.2">
      <c r="A57" s="63"/>
      <c r="B57" s="63"/>
      <c r="C57" s="63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</row>
    <row r="58" spans="1:23" x14ac:dyDescent="0.2">
      <c r="A58" s="63"/>
      <c r="B58" s="63"/>
      <c r="C58" s="63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</row>
    <row r="59" spans="1:23" x14ac:dyDescent="0.2">
      <c r="A59" s="63"/>
      <c r="B59" s="63"/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</row>
    <row r="60" spans="1:23" x14ac:dyDescent="0.2">
      <c r="A60" s="63"/>
      <c r="B60" s="63"/>
      <c r="C60" s="63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</row>
    <row r="61" spans="1:23" x14ac:dyDescent="0.2">
      <c r="A61" s="63"/>
      <c r="B61" s="63"/>
      <c r="C61" s="63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</row>
    <row r="62" spans="1:23" x14ac:dyDescent="0.2">
      <c r="A62" s="63"/>
      <c r="B62" s="63"/>
      <c r="C62" s="63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</row>
    <row r="63" spans="1:23" x14ac:dyDescent="0.2">
      <c r="A63" s="63"/>
      <c r="B63" s="63"/>
      <c r="C63" s="63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</row>
    <row r="64" spans="1:23" x14ac:dyDescent="0.2">
      <c r="A64" s="63"/>
      <c r="B64" s="63"/>
      <c r="C64" s="63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</row>
    <row r="65" spans="1:23" x14ac:dyDescent="0.2">
      <c r="A65" s="63"/>
      <c r="B65" s="63"/>
      <c r="C65" s="63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2">
      <c r="A66" s="6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2">
      <c r="A67" s="63"/>
      <c r="B67" s="63"/>
      <c r="C67" s="63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2">
      <c r="A68" s="63"/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  <row r="70" spans="1:23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</row>
    <row r="71" spans="1:23" x14ac:dyDescent="0.2">
      <c r="A71" s="63"/>
      <c r="B71" s="63"/>
      <c r="C71" s="63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</row>
    <row r="72" spans="1:23" x14ac:dyDescent="0.2">
      <c r="A72" s="63"/>
      <c r="B72" s="63"/>
      <c r="C72" s="63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</row>
    <row r="73" spans="1:23" x14ac:dyDescent="0.2">
      <c r="A73" s="63"/>
      <c r="B73" s="63"/>
      <c r="C73" s="63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</row>
    <row r="74" spans="1:23" x14ac:dyDescent="0.2">
      <c r="A74" s="63"/>
      <c r="B74" s="63"/>
      <c r="C74" s="63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</row>
    <row r="75" spans="1:23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</row>
    <row r="76" spans="1:23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</row>
    <row r="77" spans="1:23" x14ac:dyDescent="0.2">
      <c r="A77" s="63"/>
      <c r="B77" s="63"/>
      <c r="C77" s="63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</row>
    <row r="78" spans="1:23" x14ac:dyDescent="0.2">
      <c r="A78" s="63"/>
      <c r="B78" s="63"/>
      <c r="C78" s="63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</row>
    <row r="79" spans="1:23" x14ac:dyDescent="0.2">
      <c r="A79" s="63"/>
      <c r="B79" s="63"/>
      <c r="C79" s="63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</row>
    <row r="80" spans="1:23" x14ac:dyDescent="0.2">
      <c r="A80" s="63"/>
      <c r="B80" s="63"/>
      <c r="C80" s="63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</row>
    <row r="81" spans="1:23" x14ac:dyDescent="0.2">
      <c r="A81" s="63"/>
      <c r="B81" s="63"/>
      <c r="C81" s="63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</row>
    <row r="82" spans="1:23" x14ac:dyDescent="0.2">
      <c r="A82" s="63"/>
      <c r="B82" s="63"/>
      <c r="C82" s="63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</row>
    <row r="83" spans="1:23" x14ac:dyDescent="0.2">
      <c r="A83" s="63"/>
      <c r="B83" s="63"/>
      <c r="C83" s="63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</row>
    <row r="84" spans="1:23" x14ac:dyDescent="0.2">
      <c r="A84" s="63"/>
      <c r="B84" s="63"/>
      <c r="C84" s="63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</row>
    <row r="85" spans="1:23" x14ac:dyDescent="0.2">
      <c r="A85" s="63"/>
      <c r="B85" s="63"/>
      <c r="C85" s="63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</row>
    <row r="86" spans="1:23" x14ac:dyDescent="0.2">
      <c r="A86" s="6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</row>
    <row r="87" spans="1:23" x14ac:dyDescent="0.2">
      <c r="A87" s="6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</row>
  </sheetData>
  <mergeCells count="14">
    <mergeCell ref="B15:P24"/>
    <mergeCell ref="M14:P14"/>
    <mergeCell ref="M11:P13"/>
    <mergeCell ref="L11:L13"/>
    <mergeCell ref="B14:E14"/>
    <mergeCell ref="B11:E13"/>
    <mergeCell ref="F11:K14"/>
    <mergeCell ref="Q11:Q14"/>
    <mergeCell ref="A8:A10"/>
    <mergeCell ref="G8:K10"/>
    <mergeCell ref="L8:P10"/>
    <mergeCell ref="A1:S4"/>
    <mergeCell ref="A5:S5"/>
    <mergeCell ref="B8:F10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aa">
                <anchor moveWithCells="1" sizeWithCells="1">
                  <from>
                    <xdr:col>10</xdr:col>
                    <xdr:colOff>314325</xdr:colOff>
                    <xdr:row>7</xdr:row>
                    <xdr:rowOff>19050</xdr:rowOff>
                  </from>
                  <to>
                    <xdr:col>12</xdr:col>
                    <xdr:colOff>142875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258"/>
  <sheetViews>
    <sheetView tabSelected="1" zoomScale="85" zoomScaleNormal="85" workbookViewId="0">
      <selection activeCell="A42" sqref="A42:Z42"/>
    </sheetView>
  </sheetViews>
  <sheetFormatPr defaultRowHeight="14.25" x14ac:dyDescent="0.2"/>
  <cols>
    <col min="1" max="1" width="16.125" customWidth="1"/>
    <col min="2" max="2" width="5.625" customWidth="1"/>
    <col min="3" max="3" width="13.625" customWidth="1"/>
    <col min="4" max="4" width="3.625" customWidth="1"/>
    <col min="5" max="5" width="8.125" customWidth="1"/>
    <col min="6" max="6" width="7.625" customWidth="1"/>
    <col min="7" max="7" width="5.625" customWidth="1"/>
    <col min="8" max="8" width="13.625" customWidth="1"/>
    <col min="9" max="9" width="3.625" customWidth="1"/>
    <col min="10" max="10" width="8.125" customWidth="1"/>
    <col min="11" max="11" width="7.625" customWidth="1"/>
    <col min="12" max="12" width="5.625" customWidth="1"/>
    <col min="13" max="13" width="13.625" customWidth="1"/>
    <col min="14" max="14" width="3.625" customWidth="1"/>
    <col min="15" max="15" width="8.125" customWidth="1"/>
    <col min="16" max="16" width="7.625" customWidth="1"/>
    <col min="17" max="17" width="5.625" customWidth="1"/>
    <col min="18" max="18" width="13.625" customWidth="1"/>
    <col min="19" max="19" width="3.625" customWidth="1"/>
    <col min="20" max="20" width="8.125" customWidth="1"/>
    <col min="21" max="21" width="7.625" customWidth="1"/>
    <col min="22" max="22" width="5.625" customWidth="1"/>
    <col min="23" max="23" width="13.625" customWidth="1"/>
    <col min="24" max="24" width="3.625" customWidth="1"/>
    <col min="25" max="25" width="8.125" customWidth="1"/>
    <col min="26" max="26" width="7.625" customWidth="1"/>
    <col min="29" max="29" width="68.5" customWidth="1"/>
  </cols>
  <sheetData>
    <row r="1" spans="1:46" ht="36" customHeight="1" x14ac:dyDescent="0.2">
      <c r="A1" s="144" t="s">
        <v>0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24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</row>
    <row r="2" spans="1:46" ht="20.25" x14ac:dyDescent="0.2">
      <c r="A2" s="145" t="s">
        <v>1</v>
      </c>
      <c r="B2" s="145" t="s">
        <v>2</v>
      </c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</row>
    <row r="3" spans="1:46" ht="18" customHeight="1" x14ac:dyDescent="0.2">
      <c r="A3" s="145"/>
      <c r="B3" s="148" t="s">
        <v>3</v>
      </c>
      <c r="C3" s="148"/>
      <c r="D3" s="148"/>
      <c r="E3" s="148"/>
      <c r="F3" s="148"/>
      <c r="G3" s="148" t="s">
        <v>4</v>
      </c>
      <c r="H3" s="148"/>
      <c r="I3" s="148"/>
      <c r="J3" s="148"/>
      <c r="K3" s="148"/>
      <c r="L3" s="148" t="s">
        <v>5</v>
      </c>
      <c r="M3" s="148"/>
      <c r="N3" s="148"/>
      <c r="O3" s="148"/>
      <c r="P3" s="148"/>
      <c r="Q3" s="148" t="s">
        <v>6</v>
      </c>
      <c r="R3" s="148"/>
      <c r="S3" s="148"/>
      <c r="T3" s="148"/>
      <c r="U3" s="148"/>
      <c r="V3" s="148" t="s">
        <v>7</v>
      </c>
      <c r="W3" s="148"/>
      <c r="X3" s="148"/>
      <c r="Y3" s="148"/>
      <c r="Z3" s="149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</row>
    <row r="4" spans="1:46" ht="20.25" customHeight="1" x14ac:dyDescent="0.2">
      <c r="A4" s="145"/>
      <c r="B4" s="16" t="s">
        <v>172</v>
      </c>
      <c r="C4" s="17" t="s">
        <v>76</v>
      </c>
      <c r="D4" s="16" t="s">
        <v>164</v>
      </c>
      <c r="E4" s="18" t="s">
        <v>174</v>
      </c>
      <c r="F4" s="17" t="s">
        <v>77</v>
      </c>
      <c r="G4" s="19" t="s">
        <v>172</v>
      </c>
      <c r="H4" s="17" t="s">
        <v>76</v>
      </c>
      <c r="I4" s="16" t="s">
        <v>164</v>
      </c>
      <c r="J4" s="18" t="s">
        <v>174</v>
      </c>
      <c r="K4" s="17" t="s">
        <v>77</v>
      </c>
      <c r="L4" s="16" t="s">
        <v>172</v>
      </c>
      <c r="M4" s="17" t="s">
        <v>76</v>
      </c>
      <c r="N4" s="16" t="s">
        <v>164</v>
      </c>
      <c r="O4" s="18" t="s">
        <v>174</v>
      </c>
      <c r="P4" s="17" t="s">
        <v>77</v>
      </c>
      <c r="Q4" s="16" t="s">
        <v>172</v>
      </c>
      <c r="R4" s="17" t="s">
        <v>76</v>
      </c>
      <c r="S4" s="16" t="s">
        <v>164</v>
      </c>
      <c r="T4" s="18" t="s">
        <v>174</v>
      </c>
      <c r="U4" s="17" t="s">
        <v>77</v>
      </c>
      <c r="V4" s="16" t="s">
        <v>172</v>
      </c>
      <c r="W4" s="17" t="s">
        <v>76</v>
      </c>
      <c r="X4" s="16" t="s">
        <v>164</v>
      </c>
      <c r="Y4" s="18" t="s">
        <v>174</v>
      </c>
      <c r="Z4" s="17" t="s">
        <v>77</v>
      </c>
      <c r="AA4" s="25"/>
      <c r="AB4" s="25"/>
      <c r="AC4" s="73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</row>
    <row r="5" spans="1:46" ht="16.5" customHeight="1" x14ac:dyDescent="0.2">
      <c r="A5" s="146" t="s">
        <v>9</v>
      </c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  <c r="R5" s="147"/>
      <c r="S5" s="147"/>
      <c r="T5" s="147"/>
      <c r="U5" s="147"/>
      <c r="V5" s="147"/>
      <c r="W5" s="147"/>
      <c r="X5" s="147"/>
      <c r="Y5" s="147"/>
      <c r="Z5" s="147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</row>
    <row r="6" spans="1:46" ht="21" customHeight="1" x14ac:dyDescent="0.2">
      <c r="A6" s="9" t="s">
        <v>8</v>
      </c>
      <c r="B6" s="4">
        <v>1.1000000000000001</v>
      </c>
      <c r="C6" s="7"/>
      <c r="D6" s="79" t="str">
        <f>IF(C6="","",IF(AND(C6&gt;=960000,C6&lt;=999999),"V",IF(AND(C6&gt;=920000,C6&lt;=959999),"S",IF(AND(C6&gt;=880000,C6&lt;=919999),"A",IF(AND(C6&gt;=820000,C6&lt;=879999),"B",IF(AND(C6&gt;=700000,C6&lt;=819999),"C",IF(AND(C6&gt;=1,C6&lt;=699999),"F",IF(AND(C6=1000000),"φ",IF(AND(C6=0),"",C6)))))))))</f>
        <v/>
      </c>
      <c r="E6" s="80">
        <f>(C6-900000*F6)/100000*418</f>
        <v>0</v>
      </c>
      <c r="F6" s="8"/>
      <c r="G6" s="4">
        <v>6.7</v>
      </c>
      <c r="H6" s="1"/>
      <c r="I6" s="74" t="str">
        <f>IF(H6="","",IF(AND(H6&gt;=960000,H6&lt;=999999),"V",IF(AND(H6&gt;=920000,H6&lt;=959999),"S",IF(AND(H6&gt;=880000,H6&lt;=919999),"A",IF(AND(H6&gt;=820000,H6&lt;=879999),"B",IF(AND(H6&gt;=700000,H6&lt;=819999),"C",IF(AND(H6&gt;=1,H6&lt;=699999),"F",IF(AND(H6=1000000),"φ",IF(AND(H6=0),"",H6)))))))))</f>
        <v/>
      </c>
      <c r="J6" s="75">
        <f>(H6-900000*K6)/100000*418</f>
        <v>0</v>
      </c>
      <c r="K6" s="45"/>
      <c r="L6" s="4">
        <v>12.5</v>
      </c>
      <c r="M6" s="14"/>
      <c r="N6" s="84" t="str">
        <f>IF(M6="","",IF(AND(M6&gt;=960000,M6&lt;=999999),"V",IF(AND(M6&gt;=920000,M6&lt;=959999),"S",IF(AND(M6&gt;=880000,M6&lt;=919999),"A",IF(AND(M6&gt;=820000,M6&lt;=879999),"B",IF(AND(M6&gt;=700000,M6&lt;=819999),"C",IF(AND(M6&gt;=1,M6&lt;=699999),"F",IF(AND(M6=1000000),"φ",IF(AND(M6=0),"",M6)))))))))</f>
        <v/>
      </c>
      <c r="O6" s="85">
        <f>(M6-900000*P6)/100000*729</f>
        <v>0</v>
      </c>
      <c r="P6" s="46"/>
      <c r="Q6" s="4">
        <v>11.2</v>
      </c>
      <c r="R6" s="21"/>
      <c r="S6" s="86" t="str">
        <f>IF(R6="","",IF(AND(R6&gt;=960000,R6&lt;=999999),"V",IF(AND(R6&gt;=920000,R6&lt;=959999),"S",IF(AND(R6&gt;=880000,R6&lt;=919999),"A",IF(AND(R6&gt;=820000,R6&lt;=879999),"B",IF(AND(R6&gt;=700000,R6&lt;=819999),"C",IF(AND(R6&gt;=1,R6&lt;=699999),"F",IF(AND(R6=1000000),"φ",IF(AND(R6=0),"",R6)))))))))</f>
        <v/>
      </c>
      <c r="T6" s="87">
        <f>(R6-900000*U6)/100000*611</f>
        <v>0</v>
      </c>
      <c r="U6" s="47"/>
      <c r="V6" s="50" t="s">
        <v>177</v>
      </c>
      <c r="W6" s="54" t="s">
        <v>177</v>
      </c>
      <c r="X6" s="54" t="s">
        <v>177</v>
      </c>
      <c r="Y6" s="54" t="s">
        <v>177</v>
      </c>
      <c r="Z6" s="54" t="s">
        <v>177</v>
      </c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</row>
    <row r="7" spans="1:46" ht="21" customHeight="1" x14ac:dyDescent="0.2">
      <c r="A7" s="10" t="s">
        <v>11</v>
      </c>
      <c r="B7" s="4">
        <v>3.5</v>
      </c>
      <c r="C7" s="7"/>
      <c r="D7" s="79" t="str">
        <f>IF(C7="","",IF(AND(C7&gt;=960000,C7&lt;=999999),"V",IF(AND(C7&gt;=920000,C7&lt;=959999),"S",IF(AND(C7&gt;=880000,C7&lt;=919999),"A",IF(AND(C7&gt;=820000,C7&lt;=879999),"B",IF(AND(C7&gt;=700000,C7&lt;=819999),"C",IF(AND(C7&gt;=1,C7&lt;=699999),"F",IF(AND(C7=1000000),"φ",IF(AND(C7=0),"",C7)))))))))</f>
        <v/>
      </c>
      <c r="E7" s="80">
        <f>(C7-900000*F7)/100000*111</f>
        <v>0</v>
      </c>
      <c r="F7" s="8"/>
      <c r="G7" s="4">
        <v>7.5</v>
      </c>
      <c r="H7" s="1"/>
      <c r="I7" s="74" t="str">
        <f t="shared" ref="I7:I70" si="0">IF(H7="","",IF(AND(H7&gt;=960000,H7&lt;=999999),"V",IF(AND(H7&gt;=920000,H7&lt;=959999),"S",IF(AND(H7&gt;=880000,H7&lt;=919999),"A",IF(AND(H7&gt;=820000,H7&lt;=879999),"B",IF(AND(H7&gt;=700000,H7&lt;=819999),"C",IF(AND(H7&gt;=1,H7&lt;=699999),"F",IF(AND(H7=1000000),"φ",IF(AND(H7=0),"",H7)))))))))</f>
        <v/>
      </c>
      <c r="J7" s="75">
        <f>(H7-900000*K7)/100000*319</f>
        <v>0</v>
      </c>
      <c r="K7" s="45"/>
      <c r="L7" s="4">
        <v>11.6</v>
      </c>
      <c r="M7" s="14"/>
      <c r="N7" s="84" t="str">
        <f t="shared" ref="N7:N20" si="1">IF(M7="","",IF(AND(M7&gt;=960000,M7&lt;=999999),"V",IF(AND(M7&gt;=920000,M7&lt;=959999),"S",IF(AND(M7&gt;=880000,M7&lt;=919999),"A",IF(AND(M7&gt;=820000,M7&lt;=879999),"B",IF(AND(M7&gt;=700000,M7&lt;=819999),"C",IF(AND(M7&gt;=1,M7&lt;=699999),"F",IF(AND(M7=1000000),"φ",IF(AND(M7=0),"",M7)))))))))</f>
        <v/>
      </c>
      <c r="O7" s="85">
        <f>(M7-900000*P7)/100000*463</f>
        <v>0</v>
      </c>
      <c r="P7" s="46"/>
      <c r="Q7" s="4" t="s">
        <v>177</v>
      </c>
      <c r="R7" s="20" t="s">
        <v>177</v>
      </c>
      <c r="S7" s="20" t="s">
        <v>177</v>
      </c>
      <c r="T7" s="20" t="s">
        <v>177</v>
      </c>
      <c r="U7" s="48" t="s">
        <v>177</v>
      </c>
      <c r="V7" s="4" t="s">
        <v>177</v>
      </c>
      <c r="W7" s="55" t="s">
        <v>177</v>
      </c>
      <c r="X7" s="55" t="s">
        <v>177</v>
      </c>
      <c r="Y7" s="55" t="s">
        <v>177</v>
      </c>
      <c r="Z7" s="55" t="s">
        <v>177</v>
      </c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</row>
    <row r="8" spans="1:46" ht="21" customHeight="1" x14ac:dyDescent="0.2">
      <c r="A8" s="9" t="s">
        <v>10</v>
      </c>
      <c r="B8" s="4">
        <v>4.4000000000000004</v>
      </c>
      <c r="C8" s="7"/>
      <c r="D8" s="79" t="str">
        <f t="shared" ref="D8:D11" si="2">IF(C8="","",IF(AND(C8&gt;=960000,C8&lt;=999999),"V",IF(AND(C8&gt;=920000,C8&lt;=959999),"S",IF(AND(C8&gt;=880000,C8&lt;=919999),"A",IF(AND(C8&gt;=820000,C8&lt;=879999),"B",IF(AND(C8&gt;=700000,C8&lt;=819999),"C",IF(AND(C8&gt;=1,C8&lt;=699999),"F",IF(AND(C8=1000000),"φ",IF(AND(C8=0),"",C8)))))))))</f>
        <v/>
      </c>
      <c r="E8" s="80">
        <f>(C8-900000*F8)/100000*188</f>
        <v>0</v>
      </c>
      <c r="F8" s="8"/>
      <c r="G8" s="4">
        <v>10.4</v>
      </c>
      <c r="H8" s="1"/>
      <c r="I8" s="74" t="str">
        <f t="shared" si="0"/>
        <v/>
      </c>
      <c r="J8" s="75">
        <f>(H8-900000*K8)/100000*355</f>
        <v>0</v>
      </c>
      <c r="K8" s="45"/>
      <c r="L8" s="4">
        <v>13.7</v>
      </c>
      <c r="M8" s="14"/>
      <c r="N8" s="84" t="str">
        <f t="shared" si="1"/>
        <v/>
      </c>
      <c r="O8" s="85">
        <f>(M8-900000*P8)/100000*535</f>
        <v>0</v>
      </c>
      <c r="P8" s="46"/>
      <c r="Q8" s="4" t="s">
        <v>177</v>
      </c>
      <c r="R8" s="20" t="s">
        <v>177</v>
      </c>
      <c r="S8" s="20" t="s">
        <v>177</v>
      </c>
      <c r="T8" s="20" t="s">
        <v>177</v>
      </c>
      <c r="U8" s="48" t="s">
        <v>177</v>
      </c>
      <c r="V8" s="4" t="s">
        <v>177</v>
      </c>
      <c r="W8" s="55" t="s">
        <v>177</v>
      </c>
      <c r="X8" s="55" t="s">
        <v>177</v>
      </c>
      <c r="Y8" s="55" t="s">
        <v>177</v>
      </c>
      <c r="Z8" s="55" t="s">
        <v>177</v>
      </c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</row>
    <row r="9" spans="1:46" ht="21" customHeight="1" x14ac:dyDescent="0.2">
      <c r="A9" s="9" t="s">
        <v>12</v>
      </c>
      <c r="B9" s="4">
        <v>6.5</v>
      </c>
      <c r="C9" s="7"/>
      <c r="D9" s="79" t="str">
        <f t="shared" si="2"/>
        <v/>
      </c>
      <c r="E9" s="80">
        <f>(C9-900000*F9)/100000*279</f>
        <v>0</v>
      </c>
      <c r="F9" s="8"/>
      <c r="G9" s="4">
        <v>11.7</v>
      </c>
      <c r="H9" s="1"/>
      <c r="I9" s="74" t="str">
        <f t="shared" si="0"/>
        <v/>
      </c>
      <c r="J9" s="75">
        <f>(H9-900000*K9)/100000*382</f>
        <v>0</v>
      </c>
      <c r="K9" s="45"/>
      <c r="L9" s="4">
        <v>14.6</v>
      </c>
      <c r="M9" s="14"/>
      <c r="N9" s="84" t="str">
        <f t="shared" si="1"/>
        <v/>
      </c>
      <c r="O9" s="85">
        <f>(M9-900000*P9)/100000*764</f>
        <v>0</v>
      </c>
      <c r="P9" s="46"/>
      <c r="Q9" s="4" t="s">
        <v>177</v>
      </c>
      <c r="R9" s="20" t="s">
        <v>177</v>
      </c>
      <c r="S9" s="20" t="s">
        <v>177</v>
      </c>
      <c r="T9" s="20" t="s">
        <v>177</v>
      </c>
      <c r="U9" s="48" t="s">
        <v>177</v>
      </c>
      <c r="V9" s="4" t="s">
        <v>177</v>
      </c>
      <c r="W9" s="56" t="s">
        <v>177</v>
      </c>
      <c r="X9" s="55" t="s">
        <v>177</v>
      </c>
      <c r="Y9" s="55" t="s">
        <v>177</v>
      </c>
      <c r="Z9" s="55" t="s">
        <v>177</v>
      </c>
      <c r="AA9" s="25"/>
      <c r="AB9" s="25"/>
      <c r="AC9" s="26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</row>
    <row r="10" spans="1:46" ht="21" customHeight="1" x14ac:dyDescent="0.2">
      <c r="A10" s="11" t="s">
        <v>13</v>
      </c>
      <c r="B10" s="4">
        <v>4.7</v>
      </c>
      <c r="C10" s="7"/>
      <c r="D10" s="79" t="str">
        <f t="shared" si="2"/>
        <v/>
      </c>
      <c r="E10" s="80">
        <f>(C10-900000*F10)/100000*126</f>
        <v>0</v>
      </c>
      <c r="F10" s="8"/>
      <c r="G10" s="4">
        <v>10.5</v>
      </c>
      <c r="H10" s="1"/>
      <c r="I10" s="74" t="str">
        <f t="shared" si="0"/>
        <v/>
      </c>
      <c r="J10" s="75">
        <f>(H10-900000*K10)/100000*262</f>
        <v>0</v>
      </c>
      <c r="K10" s="45"/>
      <c r="L10" s="4">
        <v>13.4</v>
      </c>
      <c r="M10" s="14"/>
      <c r="N10" s="84" t="str">
        <f t="shared" si="1"/>
        <v/>
      </c>
      <c r="O10" s="85">
        <f>(M10-900000*P10)/100000*433</f>
        <v>0</v>
      </c>
      <c r="P10" s="46"/>
      <c r="Q10" s="4">
        <v>15.2</v>
      </c>
      <c r="R10" s="21"/>
      <c r="S10" s="86" t="str">
        <f t="shared" ref="S10:S20" si="3">IF(R10="","",IF(AND(R10&gt;=960000,R10&lt;=999999),"V",IF(AND(R10&gt;=920000,R10&lt;=959999),"S",IF(AND(R10&gt;=880000,R10&lt;=919999),"A",IF(AND(R10&gt;=820000,R10&lt;=879999),"B",IF(AND(R10&gt;=700000,R10&lt;=819999),"C",IF(AND(R10&gt;=1,R10&lt;=699999),"F",IF(AND(R10=1000000),"φ",IF(AND(R10=0),"",R10)))))))))</f>
        <v/>
      </c>
      <c r="T10" s="87">
        <f>(R10-900000*U10)/100000*564</f>
        <v>0</v>
      </c>
      <c r="U10" s="47"/>
      <c r="V10" s="4" t="s">
        <v>177</v>
      </c>
      <c r="W10" s="55" t="s">
        <v>177</v>
      </c>
      <c r="X10" s="55" t="s">
        <v>177</v>
      </c>
      <c r="Y10" s="55" t="s">
        <v>177</v>
      </c>
      <c r="Z10" s="55" t="s">
        <v>177</v>
      </c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</row>
    <row r="11" spans="1:46" ht="21" customHeight="1" x14ac:dyDescent="0.2">
      <c r="A11" s="9" t="s">
        <v>14</v>
      </c>
      <c r="B11" s="4">
        <v>4.9000000000000004</v>
      </c>
      <c r="C11" s="7"/>
      <c r="D11" s="79" t="str">
        <f t="shared" si="2"/>
        <v/>
      </c>
      <c r="E11" s="80">
        <f>(C11-900000*F11)/100000*249</f>
        <v>0</v>
      </c>
      <c r="F11" s="8"/>
      <c r="G11" s="4">
        <v>8.4</v>
      </c>
      <c r="H11" s="1"/>
      <c r="I11" s="74" t="str">
        <f t="shared" si="0"/>
        <v/>
      </c>
      <c r="J11" s="75">
        <f>(H11-900000*K11)/100000*453</f>
        <v>0</v>
      </c>
      <c r="K11" s="45"/>
      <c r="L11" s="4">
        <v>12.8</v>
      </c>
      <c r="M11" s="14"/>
      <c r="N11" s="84" t="str">
        <f t="shared" si="1"/>
        <v/>
      </c>
      <c r="O11" s="85">
        <f>(M11-900000*P11)/100000*517</f>
        <v>0</v>
      </c>
      <c r="P11" s="46"/>
      <c r="Q11" s="4">
        <v>13.8</v>
      </c>
      <c r="R11" s="21"/>
      <c r="S11" s="86" t="str">
        <f t="shared" si="3"/>
        <v/>
      </c>
      <c r="T11" s="87">
        <f>(R11-900000*U11)/100000*532</f>
        <v>0</v>
      </c>
      <c r="U11" s="47"/>
      <c r="V11" s="4" t="s">
        <v>177</v>
      </c>
      <c r="W11" s="55" t="s">
        <v>177</v>
      </c>
      <c r="X11" s="55" t="s">
        <v>177</v>
      </c>
      <c r="Y11" s="55" t="s">
        <v>177</v>
      </c>
      <c r="Z11" s="55" t="s">
        <v>177</v>
      </c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</row>
    <row r="12" spans="1:46" ht="21" customHeight="1" x14ac:dyDescent="0.2">
      <c r="A12" s="9" t="s">
        <v>15</v>
      </c>
      <c r="B12" s="4">
        <v>6.7</v>
      </c>
      <c r="C12" s="7"/>
      <c r="D12" s="79" t="str">
        <f>IF(C12="","",IF(AND(C12&gt;=960000,C12&lt;=999999),"V",IF(AND(C12&gt;=920000,C12&lt;=959999),"S",IF(AND(C12&gt;=880000,C12&lt;=919999),"A",IF(AND(C12&gt;=820000,C12&lt;=879999),"B",IF(AND(C12&gt;=700000,C12&lt;=819999),"C",IF(AND(C12&gt;=1,C12&lt;=699999),"F",IF(AND(C12=1000000),"φ",IF(AND(C12=0),"",C12)))))))))</f>
        <v/>
      </c>
      <c r="E12" s="80">
        <f>(C12-900000*F12)/100000*401</f>
        <v>0</v>
      </c>
      <c r="F12" s="8"/>
      <c r="G12" s="4">
        <v>10.7</v>
      </c>
      <c r="H12" s="1"/>
      <c r="I12" s="74" t="str">
        <f t="shared" si="0"/>
        <v/>
      </c>
      <c r="J12" s="75">
        <f>(H12-900000*K12)/100000*696</f>
        <v>0</v>
      </c>
      <c r="K12" s="45"/>
      <c r="L12" s="4">
        <v>13.4</v>
      </c>
      <c r="M12" s="14"/>
      <c r="N12" s="84" t="str">
        <f t="shared" si="1"/>
        <v/>
      </c>
      <c r="O12" s="85">
        <f>(M12-900000*P12)/100000*733</f>
        <v>0</v>
      </c>
      <c r="P12" s="46"/>
      <c r="Q12" s="4">
        <v>13.4</v>
      </c>
      <c r="R12" s="21"/>
      <c r="S12" s="86" t="str">
        <f t="shared" si="3"/>
        <v/>
      </c>
      <c r="T12" s="87">
        <f>(R12-900000*U12)/100000*909</f>
        <v>0</v>
      </c>
      <c r="U12" s="47"/>
      <c r="V12" s="4" t="s">
        <v>177</v>
      </c>
      <c r="W12" s="55" t="s">
        <v>177</v>
      </c>
      <c r="X12" s="55" t="s">
        <v>177</v>
      </c>
      <c r="Y12" s="55" t="s">
        <v>177</v>
      </c>
      <c r="Z12" s="55" t="s">
        <v>177</v>
      </c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</row>
    <row r="13" spans="1:46" ht="21" customHeight="1" x14ac:dyDescent="0.2">
      <c r="A13" s="9" t="s">
        <v>16</v>
      </c>
      <c r="B13" s="4">
        <v>5.3</v>
      </c>
      <c r="C13" s="7"/>
      <c r="D13" s="79" t="str">
        <f>IF(C13="","",IF(AND(C13&gt;=960000,C13&lt;=999999),"V",IF(AND(C13&gt;=920000,C13&lt;=959999),"S",IF(AND(C13&gt;=880000,C13&lt;=919999),"A",IF(AND(C13&gt;=820000,C13&lt;=879999),"B",IF(AND(C13&gt;=700000,C13&lt;=819999),"C",IF(AND(C13&gt;=1,C13&lt;=699999),"F",IF(AND(C13=1000000),"φ",IF(AND(C13=0),"",C13)))))))))</f>
        <v/>
      </c>
      <c r="E13" s="80">
        <f>(C13-900000*F13)/100000*290</f>
        <v>0</v>
      </c>
      <c r="F13" s="8"/>
      <c r="G13" s="4">
        <v>11.4</v>
      </c>
      <c r="H13" s="1"/>
      <c r="I13" s="74" t="str">
        <f t="shared" si="0"/>
        <v/>
      </c>
      <c r="J13" s="75">
        <f>(H13-900000*K13)/100000*602</f>
        <v>0</v>
      </c>
      <c r="K13" s="45"/>
      <c r="L13" s="4">
        <v>14.8</v>
      </c>
      <c r="M13" s="14"/>
      <c r="N13" s="84" t="str">
        <f t="shared" si="1"/>
        <v/>
      </c>
      <c r="O13" s="85">
        <f>(M13-900000*P13)/100000*978</f>
        <v>0</v>
      </c>
      <c r="P13" s="46"/>
      <c r="Q13" s="4">
        <v>13.9</v>
      </c>
      <c r="R13" s="21"/>
      <c r="S13" s="86" t="str">
        <f t="shared" si="3"/>
        <v/>
      </c>
      <c r="T13" s="87">
        <f>(R13-900000*U13)/100000*753</f>
        <v>0</v>
      </c>
      <c r="U13" s="47"/>
      <c r="V13" s="4" t="s">
        <v>177</v>
      </c>
      <c r="W13" s="55" t="s">
        <v>177</v>
      </c>
      <c r="X13" s="55" t="s">
        <v>177</v>
      </c>
      <c r="Y13" s="55" t="s">
        <v>177</v>
      </c>
      <c r="Z13" s="55" t="s">
        <v>177</v>
      </c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</row>
    <row r="14" spans="1:46" ht="21" customHeight="1" x14ac:dyDescent="0.2">
      <c r="A14" s="9" t="s">
        <v>17</v>
      </c>
      <c r="B14" s="4">
        <v>6.8</v>
      </c>
      <c r="C14" s="7"/>
      <c r="D14" s="79" t="str">
        <f t="shared" ref="D14" si="4">IF(C14="","",IF(AND(C14&gt;=960000,C14&lt;=999999),"V",IF(AND(C14&gt;=920000,C14&lt;=959999),"S",IF(AND(C14&gt;=880000,C14&lt;=919999),"A",IF(AND(C14&gt;=820000,C14&lt;=879999),"B",IF(AND(C14&gt;=700000,C14&lt;=819999),"C",IF(AND(C14&gt;=1,C14&lt;=699999),"F",IF(AND(C14=1000000),"φ",IF(AND(C14=0),"",C14)))))))))</f>
        <v/>
      </c>
      <c r="E14" s="80">
        <f>(C14-900000*F14)/100000*380</f>
        <v>0</v>
      </c>
      <c r="F14" s="8"/>
      <c r="G14" s="4">
        <v>10.8</v>
      </c>
      <c r="H14" s="1"/>
      <c r="I14" s="74" t="str">
        <f t="shared" si="0"/>
        <v/>
      </c>
      <c r="J14" s="75">
        <f>(H14-900000*K14)/100000*526</f>
        <v>0</v>
      </c>
      <c r="K14" s="45"/>
      <c r="L14" s="4">
        <v>14.7</v>
      </c>
      <c r="M14" s="14"/>
      <c r="N14" s="84" t="str">
        <f t="shared" si="1"/>
        <v/>
      </c>
      <c r="O14" s="85">
        <f>(M14-900000*P14)/100000*969</f>
        <v>0</v>
      </c>
      <c r="P14" s="46"/>
      <c r="Q14" s="4" t="s">
        <v>177</v>
      </c>
      <c r="R14" s="20" t="s">
        <v>177</v>
      </c>
      <c r="S14" s="20" t="s">
        <v>177</v>
      </c>
      <c r="T14" s="20" t="s">
        <v>177</v>
      </c>
      <c r="U14" s="48" t="s">
        <v>177</v>
      </c>
      <c r="V14" s="4" t="s">
        <v>177</v>
      </c>
      <c r="W14" s="55" t="s">
        <v>177</v>
      </c>
      <c r="X14" s="55" t="s">
        <v>177</v>
      </c>
      <c r="Y14" s="55" t="s">
        <v>177</v>
      </c>
      <c r="Z14" s="55" t="s">
        <v>177</v>
      </c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</row>
    <row r="15" spans="1:46" ht="21" customHeight="1" x14ac:dyDescent="0.2">
      <c r="A15" s="12" t="s">
        <v>18</v>
      </c>
      <c r="B15" s="4">
        <v>4.0999999999999996</v>
      </c>
      <c r="C15" s="7"/>
      <c r="D15" s="79" t="str">
        <f>IF(C15="","",IF(AND(C15&gt;=960000,C15&lt;=999999),"V",IF(AND(C15&gt;=920000,C15&lt;=959999),"S",IF(AND(C15&gt;=880000,C15&lt;=919999),"A",IF(AND(C15&gt;=820000,C15&lt;=879999),"B",IF(AND(C15&gt;=700000,C15&lt;=819999),"C",IF(AND(C15&gt;=1,C15&lt;=699999),"F",IF(AND(C15=1000000),"φ",IF(AND(C15=0),"",C15)))))))))</f>
        <v/>
      </c>
      <c r="E15" s="80">
        <f>(C15-900000*F15)/100000*165</f>
        <v>0</v>
      </c>
      <c r="F15" s="8"/>
      <c r="G15" s="4">
        <v>11.3</v>
      </c>
      <c r="H15" s="1"/>
      <c r="I15" s="74" t="str">
        <f t="shared" si="0"/>
        <v/>
      </c>
      <c r="J15" s="75">
        <f>(H15-900000*K15)/100000*537</f>
        <v>0</v>
      </c>
      <c r="K15" s="45"/>
      <c r="L15" s="4">
        <v>14.8</v>
      </c>
      <c r="M15" s="14"/>
      <c r="N15" s="84" t="str">
        <f t="shared" si="1"/>
        <v/>
      </c>
      <c r="O15" s="85">
        <f>(M15-900000*P15)/100000*843</f>
        <v>0</v>
      </c>
      <c r="P15" s="46"/>
      <c r="Q15" s="4" t="s">
        <v>177</v>
      </c>
      <c r="R15" s="20" t="s">
        <v>177</v>
      </c>
      <c r="S15" s="20" t="s">
        <v>177</v>
      </c>
      <c r="T15" s="20" t="s">
        <v>177</v>
      </c>
      <c r="U15" s="48" t="s">
        <v>177</v>
      </c>
      <c r="V15" s="4" t="s">
        <v>177</v>
      </c>
      <c r="W15" s="55" t="s">
        <v>177</v>
      </c>
      <c r="X15" s="57" t="s">
        <v>177</v>
      </c>
      <c r="Y15" s="55" t="s">
        <v>177</v>
      </c>
      <c r="Z15" s="55" t="s">
        <v>177</v>
      </c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</row>
    <row r="16" spans="1:46" ht="21" customHeight="1" x14ac:dyDescent="0.2">
      <c r="A16" s="9" t="s">
        <v>19</v>
      </c>
      <c r="B16" s="4">
        <v>5.6</v>
      </c>
      <c r="C16" s="7"/>
      <c r="D16" s="79" t="str">
        <f t="shared" ref="D16:D19" si="5">IF(C16="","",IF(AND(C16&gt;=960000,C16&lt;=999999),"V",IF(AND(C16&gt;=920000,C16&lt;=959999),"S",IF(AND(C16&gt;=880000,C16&lt;=919999),"A",IF(AND(C16&gt;=820000,C16&lt;=879999),"B",IF(AND(C16&gt;=700000,C16&lt;=819999),"C",IF(AND(C16&gt;=1,C16&lt;=699999),"F",IF(AND(C16=1000000),"φ",IF(AND(C16=0),"",C16)))))))))</f>
        <v/>
      </c>
      <c r="E16" s="80">
        <f>(C16-900000*F16)/100000*182</f>
        <v>0</v>
      </c>
      <c r="F16" s="8"/>
      <c r="G16" s="4">
        <v>8.8000000000000007</v>
      </c>
      <c r="H16" s="1"/>
      <c r="I16" s="74" t="str">
        <f t="shared" si="0"/>
        <v/>
      </c>
      <c r="J16" s="75">
        <f>(H16-900000*K16)/100000*382</f>
        <v>0</v>
      </c>
      <c r="K16" s="45"/>
      <c r="L16" s="4">
        <v>12.6</v>
      </c>
      <c r="M16" s="14"/>
      <c r="N16" s="84" t="str">
        <f t="shared" si="1"/>
        <v/>
      </c>
      <c r="O16" s="85">
        <f>(M16-900000*P16)/100000*651</f>
        <v>0</v>
      </c>
      <c r="P16" s="46"/>
      <c r="Q16" s="4">
        <v>12.9</v>
      </c>
      <c r="R16" s="21"/>
      <c r="S16" s="86" t="str">
        <f t="shared" si="3"/>
        <v/>
      </c>
      <c r="T16" s="87">
        <f>(R16-900000*U16)/100000*651</f>
        <v>0</v>
      </c>
      <c r="U16" s="47"/>
      <c r="V16" s="4" t="s">
        <v>177</v>
      </c>
      <c r="W16" s="55" t="s">
        <v>177</v>
      </c>
      <c r="X16" s="55" t="s">
        <v>177</v>
      </c>
      <c r="Y16" s="55" t="s">
        <v>177</v>
      </c>
      <c r="Z16" s="55" t="s">
        <v>177</v>
      </c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</row>
    <row r="17" spans="1:46" ht="21" customHeight="1" x14ac:dyDescent="0.2">
      <c r="A17" s="9" t="s">
        <v>20</v>
      </c>
      <c r="B17" s="4">
        <v>4.4000000000000004</v>
      </c>
      <c r="C17" s="7"/>
      <c r="D17" s="79" t="str">
        <f t="shared" si="5"/>
        <v/>
      </c>
      <c r="E17" s="80">
        <f>(C17-900000*F17)/100000*419</f>
        <v>0</v>
      </c>
      <c r="F17" s="8"/>
      <c r="G17" s="4">
        <v>11.8</v>
      </c>
      <c r="H17" s="1"/>
      <c r="I17" s="74" t="str">
        <f t="shared" si="0"/>
        <v/>
      </c>
      <c r="J17" s="75">
        <f>(H17-900000*K17)/100000*692</f>
        <v>0</v>
      </c>
      <c r="K17" s="45"/>
      <c r="L17" s="4">
        <v>14.9</v>
      </c>
      <c r="M17" s="14"/>
      <c r="N17" s="84" t="str">
        <f t="shared" si="1"/>
        <v/>
      </c>
      <c r="O17" s="85">
        <f>(M17-900000*P17)/100000*817</f>
        <v>0</v>
      </c>
      <c r="P17" s="46"/>
      <c r="Q17" s="4">
        <v>13.9</v>
      </c>
      <c r="R17" s="21"/>
      <c r="S17" s="86" t="str">
        <f t="shared" si="3"/>
        <v/>
      </c>
      <c r="T17" s="87">
        <f>(R17-900000*U17)/100000*817</f>
        <v>0</v>
      </c>
      <c r="U17" s="47"/>
      <c r="V17" s="4" t="s">
        <v>177</v>
      </c>
      <c r="W17" s="55" t="s">
        <v>177</v>
      </c>
      <c r="X17" s="57" t="s">
        <v>177</v>
      </c>
      <c r="Y17" s="55" t="s">
        <v>177</v>
      </c>
      <c r="Z17" s="55" t="s">
        <v>177</v>
      </c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</row>
    <row r="18" spans="1:46" ht="21" customHeight="1" x14ac:dyDescent="0.2">
      <c r="A18" s="9" t="s">
        <v>21</v>
      </c>
      <c r="B18" s="4">
        <v>6.9</v>
      </c>
      <c r="C18" s="7"/>
      <c r="D18" s="79" t="str">
        <f t="shared" si="5"/>
        <v/>
      </c>
      <c r="E18" s="80">
        <f>(C18-900000*F18)/100000*470</f>
        <v>0</v>
      </c>
      <c r="F18" s="8"/>
      <c r="G18" s="4">
        <v>10.5</v>
      </c>
      <c r="H18" s="1"/>
      <c r="I18" s="74" t="str">
        <f t="shared" si="0"/>
        <v/>
      </c>
      <c r="J18" s="75">
        <f>(H18-900000*K18)/100000*703</f>
        <v>0</v>
      </c>
      <c r="K18" s="45"/>
      <c r="L18" s="4">
        <v>14.8</v>
      </c>
      <c r="M18" s="14"/>
      <c r="N18" s="84" t="str">
        <f t="shared" si="1"/>
        <v/>
      </c>
      <c r="O18" s="85">
        <f>(M18-900000*P18)/100000*898</f>
        <v>0</v>
      </c>
      <c r="P18" s="46"/>
      <c r="Q18" s="4" t="s">
        <v>177</v>
      </c>
      <c r="R18" s="20" t="s">
        <v>177</v>
      </c>
      <c r="S18" s="20" t="s">
        <v>177</v>
      </c>
      <c r="T18" s="20" t="s">
        <v>177</v>
      </c>
      <c r="U18" s="48" t="s">
        <v>177</v>
      </c>
      <c r="V18" s="4" t="s">
        <v>177</v>
      </c>
      <c r="W18" s="55" t="s">
        <v>177</v>
      </c>
      <c r="X18" s="55" t="s">
        <v>177</v>
      </c>
      <c r="Y18" s="55" t="s">
        <v>177</v>
      </c>
      <c r="Z18" s="55" t="s">
        <v>177</v>
      </c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</row>
    <row r="19" spans="1:46" ht="21" customHeight="1" x14ac:dyDescent="0.2">
      <c r="A19" s="9" t="s">
        <v>22</v>
      </c>
      <c r="B19" s="4">
        <v>4.5</v>
      </c>
      <c r="C19" s="7"/>
      <c r="D19" s="79" t="str">
        <f t="shared" si="5"/>
        <v/>
      </c>
      <c r="E19" s="80">
        <f>(C19-900000*F19)/100000*250</f>
        <v>0</v>
      </c>
      <c r="F19" s="8"/>
      <c r="G19" s="4">
        <v>11.9</v>
      </c>
      <c r="H19" s="1"/>
      <c r="I19" s="74" t="str">
        <f t="shared" si="0"/>
        <v/>
      </c>
      <c r="J19" s="75">
        <f>(H19-900000*K19)/100000*698</f>
        <v>0</v>
      </c>
      <c r="K19" s="45"/>
      <c r="L19" s="4">
        <v>15.2</v>
      </c>
      <c r="M19" s="14"/>
      <c r="N19" s="84" t="str">
        <f t="shared" si="1"/>
        <v/>
      </c>
      <c r="O19" s="85">
        <f>(M19-900000*P19)/100000*941</f>
        <v>0</v>
      </c>
      <c r="P19" s="46"/>
      <c r="Q19" s="4">
        <v>14.6</v>
      </c>
      <c r="R19" s="21"/>
      <c r="S19" s="86" t="str">
        <f t="shared" si="3"/>
        <v/>
      </c>
      <c r="T19" s="87">
        <f>(R19-900000*U19)/100000*961</f>
        <v>0</v>
      </c>
      <c r="U19" s="47"/>
      <c r="V19" s="4" t="s">
        <v>177</v>
      </c>
      <c r="W19" s="55" t="s">
        <v>177</v>
      </c>
      <c r="X19" s="55" t="s">
        <v>177</v>
      </c>
      <c r="Y19" s="55" t="s">
        <v>177</v>
      </c>
      <c r="Z19" s="55" t="s">
        <v>177</v>
      </c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</row>
    <row r="20" spans="1:46" ht="21" customHeight="1" x14ac:dyDescent="0.2">
      <c r="A20" s="13" t="s">
        <v>23</v>
      </c>
      <c r="B20" s="4">
        <v>5.8</v>
      </c>
      <c r="C20" s="7"/>
      <c r="D20" s="79" t="str">
        <f>IF(C20="","",IF(AND(C20&gt;=960000,C20&lt;=999999),"V",IF(AND(C20&gt;=920000,C20&lt;=959999),"S",IF(AND(C20&gt;=880000,C20&lt;=919999),"A",IF(AND(C20&gt;=820000,C20&lt;=879999),"B",IF(AND(C20&gt;=700000,C20&lt;=819999),"C",IF(AND(C20&gt;=1,C20&lt;=699999),"F",IF(AND(C20=1000000),"φ",IF(AND(C20=0),"",C20)))))))))</f>
        <v/>
      </c>
      <c r="E20" s="80">
        <f>(C20-900000*F20)/100000*221</f>
        <v>0</v>
      </c>
      <c r="F20" s="8"/>
      <c r="G20" s="4">
        <v>10.5</v>
      </c>
      <c r="H20" s="1"/>
      <c r="I20" s="74" t="str">
        <f t="shared" si="0"/>
        <v/>
      </c>
      <c r="J20" s="75">
        <f>(H20-900000*K20)/100000*604</f>
        <v>0</v>
      </c>
      <c r="K20" s="45"/>
      <c r="L20" s="4">
        <v>15.8</v>
      </c>
      <c r="M20" s="14"/>
      <c r="N20" s="84" t="str">
        <f t="shared" si="1"/>
        <v/>
      </c>
      <c r="O20" s="85">
        <f>(M20-900000*P20)/100000*1235</f>
        <v>0</v>
      </c>
      <c r="P20" s="46"/>
      <c r="Q20" s="4">
        <v>15.8</v>
      </c>
      <c r="R20" s="21"/>
      <c r="S20" s="86" t="str">
        <f t="shared" si="3"/>
        <v/>
      </c>
      <c r="T20" s="87">
        <f>(R20-900000*U20)/100000*1028</f>
        <v>0</v>
      </c>
      <c r="U20" s="47"/>
      <c r="V20" s="4" t="s">
        <v>177</v>
      </c>
      <c r="W20" s="55" t="s">
        <v>177</v>
      </c>
      <c r="X20" s="55" t="s">
        <v>177</v>
      </c>
      <c r="Y20" s="55" t="s">
        <v>177</v>
      </c>
      <c r="Z20" s="55" t="s">
        <v>177</v>
      </c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</row>
    <row r="21" spans="1:46" ht="16.5" customHeight="1" x14ac:dyDescent="0.2">
      <c r="A21" s="133" t="s">
        <v>24</v>
      </c>
      <c r="B21" s="134"/>
      <c r="C21" s="134"/>
      <c r="D21" s="134"/>
      <c r="E21" s="134"/>
      <c r="F21" s="134"/>
      <c r="G21" s="134"/>
      <c r="H21" s="134"/>
      <c r="I21" s="134"/>
      <c r="J21" s="134"/>
      <c r="K21" s="134"/>
      <c r="L21" s="134"/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</row>
    <row r="22" spans="1:46" ht="21" customHeight="1" x14ac:dyDescent="0.2">
      <c r="A22" s="13" t="s">
        <v>25</v>
      </c>
      <c r="B22" s="4">
        <v>3.9</v>
      </c>
      <c r="C22" s="7"/>
      <c r="D22" s="79" t="str">
        <f>IF(C22="","",IF(AND(C22&gt;=960000,C22&lt;=999999),"V",IF(AND(C22&gt;=920000,C22&lt;=959999),"S",IF(AND(C22&gt;=880000,C22&lt;=919999),"A",IF(AND(C22&gt;=820000,C22&lt;=879999),"B",IF(AND(C22&gt;=700000,C22&lt;=819999),"C",IF(AND(C22&gt;=1,C22&lt;=699999),"F",IF(AND(C22=1000000),"φ",IF(AND(C22=0),"",C22)))))))))</f>
        <v/>
      </c>
      <c r="E22" s="80">
        <f>(C22-900000*F22)/100000*159</f>
        <v>0</v>
      </c>
      <c r="F22" s="7"/>
      <c r="G22" s="4">
        <v>8.5</v>
      </c>
      <c r="H22" s="1"/>
      <c r="I22" s="74" t="str">
        <f t="shared" si="0"/>
        <v/>
      </c>
      <c r="J22" s="75">
        <f>(H22-900000*K22)/100000*334</f>
        <v>0</v>
      </c>
      <c r="K22" s="1"/>
      <c r="L22" s="4">
        <v>12.5</v>
      </c>
      <c r="M22" s="14"/>
      <c r="N22" s="84" t="str">
        <f>IF(M22="","",IF(AND(M22&gt;=960000,M22&lt;=999999),"V",IF(AND(M22&gt;=920000,M22&lt;=959999),"S",IF(AND(M22&gt;=880000,M22&lt;=919999),"A",IF(AND(M22&gt;=820000,M22&lt;=879999),"B",IF(AND(M22&gt;=700000,M22&lt;=819999),"C",IF(AND(M22&gt;=1,M22&lt;=699999),"F",IF(AND(M22=1000000),"φ",IF(AND(M22=0),"",M22)))))))))</f>
        <v/>
      </c>
      <c r="O22" s="85">
        <f>(M22-900000*P22)/100000*485</f>
        <v>0</v>
      </c>
      <c r="P22" s="14"/>
      <c r="Q22" s="4" t="s">
        <v>177</v>
      </c>
      <c r="R22" s="20" t="s">
        <v>177</v>
      </c>
      <c r="S22" s="20" t="s">
        <v>177</v>
      </c>
      <c r="T22" s="20" t="s">
        <v>177</v>
      </c>
      <c r="U22" s="20" t="s">
        <v>177</v>
      </c>
      <c r="V22" s="4" t="s">
        <v>177</v>
      </c>
      <c r="W22" s="20" t="s">
        <v>177</v>
      </c>
      <c r="X22" s="20" t="s">
        <v>177</v>
      </c>
      <c r="Y22" s="20" t="s">
        <v>177</v>
      </c>
      <c r="Z22" s="20" t="s">
        <v>177</v>
      </c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</row>
    <row r="23" spans="1:46" ht="21" customHeight="1" x14ac:dyDescent="0.2">
      <c r="A23" s="13" t="s">
        <v>26</v>
      </c>
      <c r="B23" s="4">
        <v>4.5</v>
      </c>
      <c r="C23" s="7"/>
      <c r="D23" s="79" t="str">
        <f t="shared" ref="D23:D92" si="6">IF(C23="","",IF(AND(C23&gt;=960000,C23&lt;=999999),"V",IF(AND(C23&gt;=920000,C23&lt;=959999),"S",IF(AND(C23&gt;=880000,C23&lt;=919999),"A",IF(AND(C23&gt;=820000,C23&lt;=879999),"B",IF(AND(C23&gt;=700000,C23&lt;=819999),"C",IF(AND(C23&gt;=1,C23&lt;=699999),"F",IF(AND(C23=1000000),"φ",IF(AND(C23=0),"",C23)))))))))</f>
        <v/>
      </c>
      <c r="E23" s="80">
        <f>(C23-900000*F23)/100000*612</f>
        <v>0</v>
      </c>
      <c r="F23" s="7"/>
      <c r="G23" s="4">
        <v>8.9</v>
      </c>
      <c r="H23" s="1"/>
      <c r="I23" s="74" t="str">
        <f t="shared" si="0"/>
        <v/>
      </c>
      <c r="J23" s="75">
        <f>(H23-900000*K23)/100000*801</f>
        <v>0</v>
      </c>
      <c r="K23" s="1"/>
      <c r="L23" s="4">
        <v>13.5</v>
      </c>
      <c r="M23" s="14"/>
      <c r="N23" s="84" t="str">
        <f t="shared" ref="N23:N25" si="7">IF(M23="","",IF(AND(M23&gt;=960000,M23&lt;=999999),"V",IF(AND(M23&gt;=920000,M23&lt;=959999),"S",IF(AND(M23&gt;=880000,M23&lt;=919999),"A",IF(AND(M23&gt;=820000,M23&lt;=879999),"B",IF(AND(M23&gt;=700000,M23&lt;=819999),"C",IF(AND(M23&gt;=1,M23&lt;=699999),"F",IF(AND(M23=1000000),"φ",IF(AND(M23=0),"",M23)))))))))</f>
        <v/>
      </c>
      <c r="O23" s="85">
        <f>(M23-900000*P23)/100000*1194</f>
        <v>0</v>
      </c>
      <c r="P23" s="14"/>
      <c r="Q23" s="4" t="s">
        <v>177</v>
      </c>
      <c r="R23" s="20" t="s">
        <v>177</v>
      </c>
      <c r="S23" s="20" t="s">
        <v>177</v>
      </c>
      <c r="T23" s="20" t="s">
        <v>177</v>
      </c>
      <c r="U23" s="20" t="s">
        <v>177</v>
      </c>
      <c r="V23" s="4" t="s">
        <v>177</v>
      </c>
      <c r="W23" s="20" t="s">
        <v>177</v>
      </c>
      <c r="X23" s="20" t="s">
        <v>177</v>
      </c>
      <c r="Y23" s="20" t="s">
        <v>177</v>
      </c>
      <c r="Z23" s="20" t="s">
        <v>177</v>
      </c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</row>
    <row r="24" spans="1:46" ht="21" customHeight="1" x14ac:dyDescent="0.2">
      <c r="A24" s="13" t="s">
        <v>27</v>
      </c>
      <c r="B24" s="4">
        <v>4.5999999999999996</v>
      </c>
      <c r="C24" s="7"/>
      <c r="D24" s="79" t="str">
        <f t="shared" si="6"/>
        <v/>
      </c>
      <c r="E24" s="80">
        <f>(C24-900000*F24)/100000*302</f>
        <v>0</v>
      </c>
      <c r="F24" s="7"/>
      <c r="G24" s="4">
        <v>7.7</v>
      </c>
      <c r="H24" s="1"/>
      <c r="I24" s="74" t="str">
        <f t="shared" si="0"/>
        <v/>
      </c>
      <c r="J24" s="75">
        <f>(H24-900000*K24)/100000*532</f>
        <v>0</v>
      </c>
      <c r="K24" s="1"/>
      <c r="L24" s="4">
        <v>13.4</v>
      </c>
      <c r="M24" s="14"/>
      <c r="N24" s="84" t="str">
        <f t="shared" si="7"/>
        <v/>
      </c>
      <c r="O24" s="85">
        <f>(M24-900000*P24)/100000*914</f>
        <v>0</v>
      </c>
      <c r="P24" s="14"/>
      <c r="Q24" s="4" t="s">
        <v>177</v>
      </c>
      <c r="R24" s="20" t="s">
        <v>177</v>
      </c>
      <c r="S24" s="20" t="s">
        <v>177</v>
      </c>
      <c r="T24" s="20" t="s">
        <v>177</v>
      </c>
      <c r="U24" s="20" t="s">
        <v>177</v>
      </c>
      <c r="V24" s="4" t="s">
        <v>177</v>
      </c>
      <c r="W24" s="20" t="s">
        <v>177</v>
      </c>
      <c r="X24" s="20" t="s">
        <v>177</v>
      </c>
      <c r="Y24" s="20" t="s">
        <v>177</v>
      </c>
      <c r="Z24" s="20" t="s">
        <v>177</v>
      </c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</row>
    <row r="25" spans="1:46" ht="21" customHeight="1" x14ac:dyDescent="0.2">
      <c r="A25" s="13" t="s">
        <v>28</v>
      </c>
      <c r="B25" s="4">
        <v>4.7</v>
      </c>
      <c r="C25" s="7"/>
      <c r="D25" s="79" t="str">
        <f t="shared" si="6"/>
        <v/>
      </c>
      <c r="E25" s="80">
        <f>(C25-900000*F25)/100000*190</f>
        <v>0</v>
      </c>
      <c r="F25" s="7"/>
      <c r="G25" s="4">
        <v>9.3000000000000007</v>
      </c>
      <c r="H25" s="1"/>
      <c r="I25" s="74" t="str">
        <f t="shared" si="0"/>
        <v/>
      </c>
      <c r="J25" s="75">
        <f>(H25-900000*K25)/100000*319</f>
        <v>0</v>
      </c>
      <c r="K25" s="1"/>
      <c r="L25" s="4">
        <v>14.2</v>
      </c>
      <c r="M25" s="14"/>
      <c r="N25" s="84" t="str">
        <f t="shared" si="7"/>
        <v/>
      </c>
      <c r="O25" s="85">
        <f>(M25-900000*P25)/100000*689</f>
        <v>0</v>
      </c>
      <c r="P25" s="14"/>
      <c r="Q25" s="4">
        <v>13.5</v>
      </c>
      <c r="R25" s="21"/>
      <c r="S25" s="86" t="str">
        <f>IF(R25="","",IF(AND(R25&gt;=960000,R25&lt;=999999),"V",IF(AND(R25&gt;=920000,R25&lt;=959999),"S",IF(AND(R25&gt;=880000,R25&lt;=919999),"A",IF(AND(R25&gt;=820000,R25&lt;=879999),"B",IF(AND(R25&gt;=700000,R25&lt;=819999),"C",IF(AND(R25&gt;=1,R25&lt;=699999),"F",IF(AND(R25=1000000),"φ",IF(AND(R25=0),"",R25)))))))))</f>
        <v/>
      </c>
      <c r="T25" s="87">
        <f>(R25-900000*U25)/100000*762</f>
        <v>0</v>
      </c>
      <c r="U25" s="21"/>
      <c r="V25" s="4" t="s">
        <v>177</v>
      </c>
      <c r="W25" s="20" t="s">
        <v>177</v>
      </c>
      <c r="X25" s="20" t="s">
        <v>177</v>
      </c>
      <c r="Y25" s="20" t="s">
        <v>177</v>
      </c>
      <c r="Z25" s="20" t="s">
        <v>177</v>
      </c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</row>
    <row r="26" spans="1:46" ht="21" customHeight="1" x14ac:dyDescent="0.2">
      <c r="A26" s="28" t="s">
        <v>29</v>
      </c>
      <c r="B26" s="4">
        <v>5.9</v>
      </c>
      <c r="C26" s="7"/>
      <c r="D26" s="79" t="str">
        <f t="shared" si="6"/>
        <v/>
      </c>
      <c r="E26" s="80">
        <f>(C26-900000*F26)/100000*190</f>
        <v>0</v>
      </c>
      <c r="F26" s="7"/>
      <c r="G26" s="4">
        <v>10.7</v>
      </c>
      <c r="H26" s="1"/>
      <c r="I26" s="74" t="str">
        <f t="shared" si="0"/>
        <v/>
      </c>
      <c r="J26" s="75">
        <f>(H26-900000*K26)/100000*468</f>
        <v>0</v>
      </c>
      <c r="K26" s="1"/>
      <c r="L26" s="4">
        <v>14.8</v>
      </c>
      <c r="M26" s="14"/>
      <c r="N26" s="84" t="str">
        <f>IF(M26="","",IF(AND(M26&gt;=960000,M26&lt;=999999),"V",IF(AND(M26&gt;=920000,M26&lt;=959999),"S",IF(AND(M26&gt;=880000,M26&lt;=919999),"A",IF(AND(M26&gt;=820000,M26&lt;=879999),"B",IF(AND(M26&gt;=700000,M26&lt;=819999),"C",IF(AND(M26&gt;=1,M26&lt;=699999),"F",IF(AND(M26=1000000),"φ",IF(AND(M26=0),"",M26)))))))))</f>
        <v/>
      </c>
      <c r="O26" s="85">
        <f>(M26-900000*P26)/100000*750</f>
        <v>0</v>
      </c>
      <c r="P26" s="14"/>
      <c r="Q26" s="4">
        <v>14.8</v>
      </c>
      <c r="R26" s="21"/>
      <c r="S26" s="86" t="str">
        <f>IF(R26="","",IF(AND(R26&gt;=960000,R26&lt;=999999),"V",IF(AND(R26&gt;=920000,R26&lt;=959999),"S",IF(AND(R26&gt;=880000,R26&lt;=919999),"A",IF(AND(R26&gt;=820000,R26&lt;=879999),"B",IF(AND(R26&gt;=700000,R26&lt;=819999),"C",IF(AND(R26&gt;=1,R26&lt;=699999),"F",IF(AND(R26=1000000),"φ",IF(AND(R26=0),"",R26)))))))))</f>
        <v/>
      </c>
      <c r="T26" s="87">
        <f>(R26-900000*U26)/100000*615</f>
        <v>0</v>
      </c>
      <c r="U26" s="21"/>
      <c r="V26" s="4" t="s">
        <v>177</v>
      </c>
      <c r="W26" s="20" t="s">
        <v>177</v>
      </c>
      <c r="X26" s="20" t="s">
        <v>177</v>
      </c>
      <c r="Y26" s="20" t="s">
        <v>177</v>
      </c>
      <c r="Z26" s="20" t="s">
        <v>177</v>
      </c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</row>
    <row r="27" spans="1:46" ht="16.5" customHeight="1" x14ac:dyDescent="0.2">
      <c r="A27" s="133" t="s">
        <v>230</v>
      </c>
      <c r="B27" s="134"/>
      <c r="C27" s="134"/>
      <c r="D27" s="134"/>
      <c r="E27" s="134"/>
      <c r="F27" s="134"/>
      <c r="G27" s="134"/>
      <c r="H27" s="134"/>
      <c r="I27" s="134"/>
      <c r="J27" s="134"/>
      <c r="K27" s="134"/>
      <c r="L27" s="134"/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</row>
    <row r="28" spans="1:46" ht="21" customHeight="1" x14ac:dyDescent="0.2">
      <c r="A28" s="9" t="s">
        <v>30</v>
      </c>
      <c r="B28" s="4">
        <v>1.8</v>
      </c>
      <c r="C28" s="7"/>
      <c r="D28" s="79" t="str">
        <f t="shared" si="6"/>
        <v/>
      </c>
      <c r="E28" s="80">
        <f>(C28-900000*F28)/100000*122</f>
        <v>0</v>
      </c>
      <c r="F28" s="7"/>
      <c r="G28" s="4">
        <v>8.6</v>
      </c>
      <c r="H28" s="1"/>
      <c r="I28" s="74" t="str">
        <f t="shared" si="0"/>
        <v/>
      </c>
      <c r="J28" s="75">
        <f>(H28-900000*K28)/100000*428</f>
        <v>0</v>
      </c>
      <c r="K28" s="1"/>
      <c r="L28" s="4">
        <v>12.9</v>
      </c>
      <c r="M28" s="14"/>
      <c r="N28" s="84" t="str">
        <f>IF(M28="","",IF(AND(M28&gt;=960000,M28&lt;=999999),"V",IF(AND(M28&gt;=920000,M28&lt;=959999),"S",IF(AND(M28&gt;=880000,M28&lt;=919999),"A",IF(AND(M28&gt;=820000,M28&lt;=879999),"B",IF(AND(M28&gt;=700000,M28&lt;=819999),"C",IF(AND(M28&gt;=1,M28&lt;=699999),"F",IF(AND(M28=1000000),"φ",IF(AND(M28=0),"",M28)))))))))</f>
        <v/>
      </c>
      <c r="O28" s="85">
        <f>(M28-900000*P28)/100000*666</f>
        <v>0</v>
      </c>
      <c r="P28" s="14"/>
      <c r="Q28" s="4" t="s">
        <v>177</v>
      </c>
      <c r="R28" s="20" t="s">
        <v>177</v>
      </c>
      <c r="S28" s="20" t="s">
        <v>177</v>
      </c>
      <c r="T28" s="20" t="s">
        <v>177</v>
      </c>
      <c r="U28" s="20" t="s">
        <v>177</v>
      </c>
      <c r="V28" s="4" t="s">
        <v>177</v>
      </c>
      <c r="W28" s="20" t="s">
        <v>177</v>
      </c>
      <c r="X28" s="20" t="s">
        <v>177</v>
      </c>
      <c r="Y28" s="20" t="s">
        <v>177</v>
      </c>
      <c r="Z28" s="20" t="s">
        <v>177</v>
      </c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</row>
    <row r="29" spans="1:46" ht="21" customHeight="1" x14ac:dyDescent="0.2">
      <c r="A29" s="29" t="s">
        <v>31</v>
      </c>
      <c r="B29" s="4">
        <v>3.2</v>
      </c>
      <c r="C29" s="7"/>
      <c r="D29" s="79" t="str">
        <f t="shared" si="6"/>
        <v/>
      </c>
      <c r="E29" s="80">
        <f>(C29-900000*F29)/100000*262</f>
        <v>0</v>
      </c>
      <c r="F29" s="7"/>
      <c r="G29" s="4">
        <v>8.6999999999999993</v>
      </c>
      <c r="H29" s="1"/>
      <c r="I29" s="74" t="str">
        <f t="shared" si="0"/>
        <v/>
      </c>
      <c r="J29" s="75">
        <f>(H29-900000*K29)/100000*593</f>
        <v>0</v>
      </c>
      <c r="K29" s="1"/>
      <c r="L29" s="4">
        <v>13.3</v>
      </c>
      <c r="M29" s="14"/>
      <c r="N29" s="84" t="str">
        <f t="shared" ref="N29:N92" si="8">IF(M29="","",IF(AND(M29&gt;=960000,M29&lt;=999999),"V",IF(AND(M29&gt;=920000,M29&lt;=959999),"S",IF(AND(M29&gt;=880000,M29&lt;=919999),"A",IF(AND(M29&gt;=820000,M29&lt;=879999),"B",IF(AND(M29&gt;=700000,M29&lt;=819999),"C",IF(AND(M29&gt;=1,M29&lt;=699999),"F",IF(AND(M29=1000000),"φ",IF(AND(M29=0),"",M29)))))))))</f>
        <v/>
      </c>
      <c r="O29" s="85">
        <f>(M29-900000*P29)/100000*722</f>
        <v>0</v>
      </c>
      <c r="P29" s="14"/>
      <c r="Q29" s="4" t="s">
        <v>177</v>
      </c>
      <c r="R29" s="20" t="s">
        <v>177</v>
      </c>
      <c r="S29" s="20" t="s">
        <v>177</v>
      </c>
      <c r="T29" s="20" t="s">
        <v>177</v>
      </c>
      <c r="U29" s="20" t="s">
        <v>177</v>
      </c>
      <c r="V29" s="4" t="s">
        <v>177</v>
      </c>
      <c r="W29" s="20" t="s">
        <v>177</v>
      </c>
      <c r="X29" s="20" t="s">
        <v>177</v>
      </c>
      <c r="Y29" s="20" t="s">
        <v>177</v>
      </c>
      <c r="Z29" s="20" t="s">
        <v>177</v>
      </c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</row>
    <row r="30" spans="1:46" ht="21" customHeight="1" x14ac:dyDescent="0.2">
      <c r="A30" s="9" t="s">
        <v>32</v>
      </c>
      <c r="B30" s="4">
        <v>4.3</v>
      </c>
      <c r="C30" s="7"/>
      <c r="D30" s="79" t="str">
        <f t="shared" si="6"/>
        <v/>
      </c>
      <c r="E30" s="80">
        <f>(C30-900000*F30)/100000*221</f>
        <v>0</v>
      </c>
      <c r="F30" s="7"/>
      <c r="G30" s="4">
        <v>9.9</v>
      </c>
      <c r="H30" s="1"/>
      <c r="I30" s="74" t="str">
        <f t="shared" si="0"/>
        <v/>
      </c>
      <c r="J30" s="75">
        <f>(H30-900000*K30)/100000*529</f>
        <v>0</v>
      </c>
      <c r="K30" s="1"/>
      <c r="L30" s="4">
        <v>13.7</v>
      </c>
      <c r="M30" s="14"/>
      <c r="N30" s="84" t="str">
        <f t="shared" si="8"/>
        <v/>
      </c>
      <c r="O30" s="85">
        <f>(M30-900000*P30)/100000*733</f>
        <v>0</v>
      </c>
      <c r="P30" s="14"/>
      <c r="Q30" s="4" t="s">
        <v>177</v>
      </c>
      <c r="R30" s="20" t="s">
        <v>177</v>
      </c>
      <c r="S30" s="20" t="s">
        <v>177</v>
      </c>
      <c r="T30" s="20" t="s">
        <v>177</v>
      </c>
      <c r="U30" s="20" t="s">
        <v>177</v>
      </c>
      <c r="V30" s="4" t="s">
        <v>177</v>
      </c>
      <c r="W30" s="20" t="s">
        <v>177</v>
      </c>
      <c r="X30" s="20"/>
      <c r="Y30" s="20" t="s">
        <v>177</v>
      </c>
      <c r="Z30" s="20" t="s">
        <v>177</v>
      </c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</row>
    <row r="31" spans="1:46" ht="21" customHeight="1" x14ac:dyDescent="0.2">
      <c r="A31" s="9" t="s">
        <v>33</v>
      </c>
      <c r="B31" s="4">
        <v>6.8</v>
      </c>
      <c r="C31" s="7"/>
      <c r="D31" s="79" t="str">
        <f t="shared" si="6"/>
        <v/>
      </c>
      <c r="E31" s="80">
        <f>(C31-900000*F31)/100000*325</f>
        <v>0</v>
      </c>
      <c r="F31" s="7"/>
      <c r="G31" s="4">
        <v>11.9</v>
      </c>
      <c r="H31" s="1"/>
      <c r="I31" s="74" t="str">
        <f t="shared" si="0"/>
        <v/>
      </c>
      <c r="J31" s="75">
        <f>(H31-900000*K31)/100000*644</f>
        <v>0</v>
      </c>
      <c r="K31" s="1"/>
      <c r="L31" s="4">
        <v>15.1</v>
      </c>
      <c r="M31" s="14"/>
      <c r="N31" s="84" t="str">
        <f t="shared" si="8"/>
        <v/>
      </c>
      <c r="O31" s="85">
        <f>(M31-900000*P31)/100000*983</f>
        <v>0</v>
      </c>
      <c r="P31" s="14"/>
      <c r="Q31" s="4" t="s">
        <v>177</v>
      </c>
      <c r="R31" s="20" t="s">
        <v>177</v>
      </c>
      <c r="S31" s="20" t="s">
        <v>177</v>
      </c>
      <c r="T31" s="20" t="s">
        <v>177</v>
      </c>
      <c r="U31" s="20" t="s">
        <v>177</v>
      </c>
      <c r="V31" s="4" t="s">
        <v>177</v>
      </c>
      <c r="W31" s="20" t="s">
        <v>177</v>
      </c>
      <c r="X31" s="20" t="s">
        <v>177</v>
      </c>
      <c r="Y31" s="20" t="s">
        <v>177</v>
      </c>
      <c r="Z31" s="20" t="s">
        <v>177</v>
      </c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</row>
    <row r="32" spans="1:46" ht="21" customHeight="1" x14ac:dyDescent="0.2">
      <c r="A32" s="9" t="s">
        <v>34</v>
      </c>
      <c r="B32" s="4">
        <v>3.6</v>
      </c>
      <c r="C32" s="7"/>
      <c r="D32" s="79" t="str">
        <f t="shared" si="6"/>
        <v/>
      </c>
      <c r="E32" s="80">
        <f>(C32-900000*F32)/100000*180</f>
        <v>0</v>
      </c>
      <c r="F32" s="7"/>
      <c r="G32" s="4">
        <v>9.4</v>
      </c>
      <c r="H32" s="1"/>
      <c r="I32" s="74" t="str">
        <f t="shared" si="0"/>
        <v/>
      </c>
      <c r="J32" s="75">
        <f>(H32-900000*K32)/100000*346</f>
        <v>0</v>
      </c>
      <c r="K32" s="1"/>
      <c r="L32" s="4">
        <v>15.2</v>
      </c>
      <c r="M32" s="14"/>
      <c r="N32" s="84" t="str">
        <f t="shared" si="8"/>
        <v/>
      </c>
      <c r="O32" s="85">
        <f>(M32-900000*P32)/100000*738</f>
        <v>0</v>
      </c>
      <c r="P32" s="14"/>
      <c r="Q32" s="4" t="s">
        <v>177</v>
      </c>
      <c r="R32" s="20" t="s">
        <v>177</v>
      </c>
      <c r="S32" s="20" t="s">
        <v>177</v>
      </c>
      <c r="T32" s="20" t="s">
        <v>177</v>
      </c>
      <c r="U32" s="20" t="s">
        <v>177</v>
      </c>
      <c r="V32" s="4" t="s">
        <v>177</v>
      </c>
      <c r="W32" s="20" t="s">
        <v>177</v>
      </c>
      <c r="X32" s="20" t="s">
        <v>177</v>
      </c>
      <c r="Y32" s="20" t="s">
        <v>177</v>
      </c>
      <c r="Z32" s="20" t="s">
        <v>177</v>
      </c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</row>
    <row r="33" spans="1:46" ht="21" customHeight="1" x14ac:dyDescent="0.2">
      <c r="A33" s="9" t="s">
        <v>35</v>
      </c>
      <c r="B33" s="4">
        <v>7.9</v>
      </c>
      <c r="C33" s="7"/>
      <c r="D33" s="79" t="str">
        <f t="shared" si="6"/>
        <v/>
      </c>
      <c r="E33" s="80">
        <f>(C33-900000*F33)/100000*637</f>
        <v>0</v>
      </c>
      <c r="F33" s="7"/>
      <c r="G33" s="4">
        <v>12.6</v>
      </c>
      <c r="H33" s="1"/>
      <c r="I33" s="74" t="str">
        <f t="shared" si="0"/>
        <v/>
      </c>
      <c r="J33" s="75">
        <f>(H33-900000*K33)/100000*904</f>
        <v>0</v>
      </c>
      <c r="K33" s="1"/>
      <c r="L33" s="4">
        <v>15.2</v>
      </c>
      <c r="M33" s="14"/>
      <c r="N33" s="84" t="str">
        <f t="shared" si="8"/>
        <v/>
      </c>
      <c r="O33" s="85">
        <f>(M33-900000*P33)/100000*1389</f>
        <v>0</v>
      </c>
      <c r="P33" s="14"/>
      <c r="Q33" s="4" t="s">
        <v>177</v>
      </c>
      <c r="R33" s="20" t="s">
        <v>177</v>
      </c>
      <c r="S33" s="20" t="s">
        <v>177</v>
      </c>
      <c r="T33" s="20" t="s">
        <v>177</v>
      </c>
      <c r="U33" s="20" t="s">
        <v>177</v>
      </c>
      <c r="V33" s="4">
        <v>16.399999999999999</v>
      </c>
      <c r="W33" s="60"/>
      <c r="X33" s="91" t="str">
        <f>IF(W33="","",IF(AND(W33&gt;=960000,W33&lt;=999999),"V",IF(AND(W33&gt;=920000,W33&lt;=959999),"S",IF(AND(W33&gt;=880000,W33&lt;=919999),"A",IF(AND(W33&gt;=820000,W33&lt;=879999),"B",IF(AND(W33&gt;=700000,W33&lt;=819999),"C",IF(AND(W33&gt;=1,W33&lt;=699999),"F",IF(AND(W33=1000000),"φ",IF(AND(W33=0),"",W33)))))))))</f>
        <v/>
      </c>
      <c r="Y33" s="94">
        <f>(W33-900000*Z33)/100000*1671</f>
        <v>0</v>
      </c>
      <c r="Z33" s="60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</row>
    <row r="34" spans="1:46" ht="21" customHeight="1" x14ac:dyDescent="0.2">
      <c r="A34" s="9" t="s">
        <v>36</v>
      </c>
      <c r="B34" s="4">
        <v>2.5</v>
      </c>
      <c r="C34" s="7"/>
      <c r="D34" s="79" t="str">
        <f t="shared" si="6"/>
        <v/>
      </c>
      <c r="E34" s="80">
        <f>(C34-900000*F34)/100000*210</f>
        <v>0</v>
      </c>
      <c r="F34" s="7"/>
      <c r="G34" s="4">
        <v>6.4</v>
      </c>
      <c r="H34" s="1"/>
      <c r="I34" s="74" t="str">
        <f t="shared" si="0"/>
        <v/>
      </c>
      <c r="J34" s="75">
        <f>(H34-900000*K34)/100000*394</f>
        <v>0</v>
      </c>
      <c r="K34" s="1"/>
      <c r="L34" s="4">
        <v>12.7</v>
      </c>
      <c r="M34" s="14"/>
      <c r="N34" s="84" t="str">
        <f t="shared" si="8"/>
        <v/>
      </c>
      <c r="O34" s="85">
        <f>(M34-900000*P34)/100000*528</f>
        <v>0</v>
      </c>
      <c r="P34" s="14"/>
      <c r="Q34" s="4" t="s">
        <v>177</v>
      </c>
      <c r="R34" s="20" t="s">
        <v>177</v>
      </c>
      <c r="S34" s="20" t="s">
        <v>177</v>
      </c>
      <c r="T34" s="20" t="s">
        <v>177</v>
      </c>
      <c r="U34" s="20" t="s">
        <v>177</v>
      </c>
      <c r="V34" s="4" t="s">
        <v>177</v>
      </c>
      <c r="W34" s="20" t="s">
        <v>177</v>
      </c>
      <c r="X34" s="20" t="s">
        <v>177</v>
      </c>
      <c r="Y34" s="20" t="s">
        <v>177</v>
      </c>
      <c r="Z34" s="20" t="s">
        <v>177</v>
      </c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</row>
    <row r="35" spans="1:46" ht="16.5" customHeight="1" x14ac:dyDescent="0.2">
      <c r="A35" s="133" t="s">
        <v>37</v>
      </c>
      <c r="B35" s="134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X35" s="134"/>
      <c r="Y35" s="134"/>
      <c r="Z35" s="13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</row>
    <row r="36" spans="1:46" ht="21" customHeight="1" x14ac:dyDescent="0.2">
      <c r="A36" s="9" t="s">
        <v>38</v>
      </c>
      <c r="B36" s="4">
        <v>4.5999999999999996</v>
      </c>
      <c r="C36" s="7"/>
      <c r="D36" s="79" t="str">
        <f t="shared" si="6"/>
        <v/>
      </c>
      <c r="E36" s="80">
        <f>(C36-900000*F36)/100000*156</f>
        <v>0</v>
      </c>
      <c r="F36" s="7"/>
      <c r="G36" s="4">
        <v>7.1</v>
      </c>
      <c r="H36" s="1"/>
      <c r="I36" s="74" t="str">
        <f t="shared" si="0"/>
        <v/>
      </c>
      <c r="J36" s="75">
        <f>(H36-900000*K36)/100000*186</f>
        <v>0</v>
      </c>
      <c r="K36" s="1"/>
      <c r="L36" s="4">
        <v>12.7</v>
      </c>
      <c r="M36" s="14"/>
      <c r="N36" s="84" t="str">
        <f t="shared" si="8"/>
        <v/>
      </c>
      <c r="O36" s="85">
        <f>(M36-900000*P36)/100000*407</f>
        <v>0</v>
      </c>
      <c r="P36" s="14"/>
      <c r="Q36" s="4" t="s">
        <v>177</v>
      </c>
      <c r="R36" s="20" t="s">
        <v>177</v>
      </c>
      <c r="S36" s="20" t="s">
        <v>177</v>
      </c>
      <c r="T36" s="20" t="s">
        <v>177</v>
      </c>
      <c r="U36" s="20" t="s">
        <v>177</v>
      </c>
      <c r="V36" s="4" t="s">
        <v>177</v>
      </c>
      <c r="W36" s="20" t="s">
        <v>177</v>
      </c>
      <c r="X36" s="20" t="s">
        <v>177</v>
      </c>
      <c r="Y36" s="20" t="s">
        <v>177</v>
      </c>
      <c r="Z36" s="20" t="s">
        <v>177</v>
      </c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</row>
    <row r="37" spans="1:46" ht="21" customHeight="1" x14ac:dyDescent="0.2">
      <c r="A37" s="9" t="s">
        <v>39</v>
      </c>
      <c r="B37" s="4">
        <v>6.2</v>
      </c>
      <c r="C37" s="7"/>
      <c r="D37" s="79" t="str">
        <f t="shared" si="6"/>
        <v/>
      </c>
      <c r="E37" s="80">
        <f>(C37-900000*F37)/100000*196</f>
        <v>0</v>
      </c>
      <c r="F37" s="7"/>
      <c r="G37" s="4">
        <v>10.7</v>
      </c>
      <c r="H37" s="1"/>
      <c r="I37" s="74" t="str">
        <f t="shared" si="0"/>
        <v/>
      </c>
      <c r="J37" s="75">
        <f>(H37-900000*K37)/100000*459</f>
        <v>0</v>
      </c>
      <c r="K37" s="1"/>
      <c r="L37" s="4">
        <v>14.5</v>
      </c>
      <c r="M37" s="14"/>
      <c r="N37" s="84" t="str">
        <f t="shared" si="8"/>
        <v/>
      </c>
      <c r="O37" s="85">
        <f>(M37-900000*P37)/100000*649</f>
        <v>0</v>
      </c>
      <c r="P37" s="14"/>
      <c r="Q37" s="4" t="s">
        <v>177</v>
      </c>
      <c r="R37" s="20" t="s">
        <v>177</v>
      </c>
      <c r="S37" s="20" t="s">
        <v>177</v>
      </c>
      <c r="T37" s="20" t="s">
        <v>177</v>
      </c>
      <c r="U37" s="20" t="s">
        <v>177</v>
      </c>
      <c r="V37" s="4" t="s">
        <v>177</v>
      </c>
      <c r="W37" s="20" t="s">
        <v>177</v>
      </c>
      <c r="X37" s="20" t="s">
        <v>177</v>
      </c>
      <c r="Y37" s="20" t="s">
        <v>177</v>
      </c>
      <c r="Z37" s="20" t="s">
        <v>177</v>
      </c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</row>
    <row r="38" spans="1:46" ht="21" customHeight="1" x14ac:dyDescent="0.2">
      <c r="A38" s="9" t="s">
        <v>40</v>
      </c>
      <c r="B38" s="4">
        <v>5.8</v>
      </c>
      <c r="C38" s="7"/>
      <c r="D38" s="79" t="str">
        <f t="shared" si="6"/>
        <v/>
      </c>
      <c r="E38" s="80">
        <f>(C38-900000*F38)/100000*354</f>
        <v>0</v>
      </c>
      <c r="F38" s="7"/>
      <c r="G38" s="4">
        <v>9.3000000000000007</v>
      </c>
      <c r="H38" s="1"/>
      <c r="I38" s="74" t="str">
        <f t="shared" si="0"/>
        <v/>
      </c>
      <c r="J38" s="75">
        <f>(H38-900000*K38)/100000*650</f>
        <v>0</v>
      </c>
      <c r="K38" s="1"/>
      <c r="L38" s="4">
        <v>14.6</v>
      </c>
      <c r="M38" s="14"/>
      <c r="N38" s="84" t="str">
        <f t="shared" si="8"/>
        <v/>
      </c>
      <c r="O38" s="85">
        <f>(M38-900000*P38)/100000*900</f>
        <v>0</v>
      </c>
      <c r="P38" s="14"/>
      <c r="Q38" s="4" t="s">
        <v>177</v>
      </c>
      <c r="R38" s="20" t="s">
        <v>177</v>
      </c>
      <c r="S38" s="20" t="s">
        <v>177</v>
      </c>
      <c r="T38" s="20" t="s">
        <v>177</v>
      </c>
      <c r="U38" s="20" t="s">
        <v>177</v>
      </c>
      <c r="V38" s="4" t="s">
        <v>177</v>
      </c>
      <c r="W38" s="20" t="s">
        <v>177</v>
      </c>
      <c r="X38" s="20"/>
      <c r="Y38" s="20" t="s">
        <v>177</v>
      </c>
      <c r="Z38" s="20" t="s">
        <v>177</v>
      </c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</row>
    <row r="39" spans="1:46" ht="21" customHeight="1" x14ac:dyDescent="0.2">
      <c r="A39" s="9" t="s">
        <v>41</v>
      </c>
      <c r="B39" s="4">
        <v>5.5</v>
      </c>
      <c r="C39" s="7"/>
      <c r="D39" s="79" t="str">
        <f t="shared" si="6"/>
        <v/>
      </c>
      <c r="E39" s="80">
        <f>(C39-900000*F39)/100000*394</f>
        <v>0</v>
      </c>
      <c r="F39" s="7"/>
      <c r="G39" s="4">
        <v>11.8</v>
      </c>
      <c r="H39" s="1"/>
      <c r="I39" s="74" t="str">
        <f t="shared" si="0"/>
        <v/>
      </c>
      <c r="J39" s="75">
        <f>(H39-900000*K39)/100000*612</f>
        <v>0</v>
      </c>
      <c r="K39" s="1"/>
      <c r="L39" s="4">
        <v>15.4</v>
      </c>
      <c r="M39" s="14"/>
      <c r="N39" s="84" t="str">
        <f t="shared" si="8"/>
        <v/>
      </c>
      <c r="O39" s="85">
        <f>(M39-900000*P39)/100000*844</f>
        <v>0</v>
      </c>
      <c r="P39" s="14"/>
      <c r="Q39" s="4" t="s">
        <v>177</v>
      </c>
      <c r="R39" s="20" t="s">
        <v>177</v>
      </c>
      <c r="S39" s="20" t="s">
        <v>177</v>
      </c>
      <c r="T39" s="20" t="s">
        <v>177</v>
      </c>
      <c r="U39" s="20" t="s">
        <v>177</v>
      </c>
      <c r="V39" s="4" t="s">
        <v>177</v>
      </c>
      <c r="W39" s="20" t="s">
        <v>177</v>
      </c>
      <c r="X39" s="20" t="s">
        <v>177</v>
      </c>
      <c r="Y39" s="20" t="s">
        <v>177</v>
      </c>
      <c r="Z39" s="20" t="s">
        <v>177</v>
      </c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</row>
    <row r="40" spans="1:46" ht="21" customHeight="1" x14ac:dyDescent="0.2">
      <c r="A40" s="9" t="s">
        <v>42</v>
      </c>
      <c r="B40" s="4">
        <v>6.3</v>
      </c>
      <c r="C40" s="7"/>
      <c r="D40" s="79" t="str">
        <f t="shared" si="6"/>
        <v/>
      </c>
      <c r="E40" s="80">
        <f>(C40-900000*F40)/100000*276</f>
        <v>0</v>
      </c>
      <c r="F40" s="7"/>
      <c r="G40" s="4">
        <v>12.9</v>
      </c>
      <c r="H40" s="1"/>
      <c r="I40" s="74" t="str">
        <f t="shared" si="0"/>
        <v/>
      </c>
      <c r="J40" s="75">
        <f>(H40-900000*K40)/100000*526</f>
        <v>0</v>
      </c>
      <c r="K40" s="1"/>
      <c r="L40" s="4">
        <v>15.7</v>
      </c>
      <c r="M40" s="14"/>
      <c r="N40" s="84" t="str">
        <f t="shared" si="8"/>
        <v/>
      </c>
      <c r="O40" s="85">
        <f>(M40-900000*P40)/100000*1066</f>
        <v>0</v>
      </c>
      <c r="P40" s="14"/>
      <c r="Q40" s="4" t="s">
        <v>177</v>
      </c>
      <c r="R40" s="20" t="s">
        <v>177</v>
      </c>
      <c r="S40" s="20" t="s">
        <v>177</v>
      </c>
      <c r="T40" s="20" t="s">
        <v>177</v>
      </c>
      <c r="U40" s="20" t="s">
        <v>177</v>
      </c>
      <c r="V40" s="4" t="s">
        <v>177</v>
      </c>
      <c r="W40" s="20" t="s">
        <v>177</v>
      </c>
      <c r="X40" s="20" t="s">
        <v>177</v>
      </c>
      <c r="Y40" s="20" t="s">
        <v>177</v>
      </c>
      <c r="Z40" s="20" t="s">
        <v>177</v>
      </c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</row>
    <row r="41" spans="1:46" ht="21" customHeight="1" x14ac:dyDescent="0.2">
      <c r="A41" s="9" t="s">
        <v>43</v>
      </c>
      <c r="B41" s="4">
        <v>7.7</v>
      </c>
      <c r="C41" s="7"/>
      <c r="D41" s="79" t="str">
        <f t="shared" si="6"/>
        <v/>
      </c>
      <c r="E41" s="80">
        <f>(C41-900000*F41)/100000*414</f>
        <v>0</v>
      </c>
      <c r="F41" s="7"/>
      <c r="G41" s="4">
        <v>12.7</v>
      </c>
      <c r="H41" s="1"/>
      <c r="I41" s="74" t="str">
        <f t="shared" si="0"/>
        <v/>
      </c>
      <c r="J41" s="75">
        <f>(H41-900000*K41)/100000*601</f>
        <v>0</v>
      </c>
      <c r="K41" s="1"/>
      <c r="L41" s="4">
        <v>15.6</v>
      </c>
      <c r="M41" s="14"/>
      <c r="N41" s="84" t="str">
        <f t="shared" si="8"/>
        <v/>
      </c>
      <c r="O41" s="85">
        <f>(M41-900000*P41)/100000*1018</f>
        <v>0</v>
      </c>
      <c r="P41" s="14"/>
      <c r="Q41" s="4" t="s">
        <v>177</v>
      </c>
      <c r="R41" s="20" t="s">
        <v>177</v>
      </c>
      <c r="S41" s="20" t="s">
        <v>177</v>
      </c>
      <c r="T41" s="20" t="s">
        <v>177</v>
      </c>
      <c r="U41" s="20" t="s">
        <v>177</v>
      </c>
      <c r="V41" s="4">
        <v>16.7</v>
      </c>
      <c r="W41" s="60"/>
      <c r="X41" s="91" t="str">
        <f>IF(W41="","",IF(AND(W41&gt;=960000,W41&lt;=999999),"V",IF(AND(W41&gt;=920000,W41&lt;=959999),"S",IF(AND(W41&gt;=880000,W41&lt;=919999),"A",IF(AND(W41&gt;=820000,W41&lt;=879999),"B",IF(AND(W41&gt;=700000,W41&lt;=819999),"C",IF(AND(W41&gt;=1,W41&lt;=699999),"F",IF(AND(W41=1000000),"φ",IF(AND(W41=0),"",W41)))))))))</f>
        <v/>
      </c>
      <c r="Y41" s="94">
        <f>(W41-900000*Z41)/100000*1114</f>
        <v>0</v>
      </c>
      <c r="Z41" s="60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</row>
    <row r="42" spans="1:46" ht="16.5" customHeight="1" x14ac:dyDescent="0.2">
      <c r="A42" s="133" t="s">
        <v>78</v>
      </c>
      <c r="B42" s="134"/>
      <c r="C42" s="134"/>
      <c r="D42" s="134"/>
      <c r="E42" s="134"/>
      <c r="F42" s="134"/>
      <c r="G42" s="134"/>
      <c r="H42" s="134"/>
      <c r="I42" s="134"/>
      <c r="J42" s="134"/>
      <c r="K42" s="134"/>
      <c r="L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</row>
    <row r="43" spans="1:46" ht="21" customHeight="1" x14ac:dyDescent="0.2">
      <c r="A43" s="9" t="s">
        <v>79</v>
      </c>
      <c r="B43" s="5">
        <v>2.2999999999999998</v>
      </c>
      <c r="C43" s="36"/>
      <c r="D43" s="79" t="str">
        <f t="shared" si="6"/>
        <v/>
      </c>
      <c r="E43" s="80">
        <f>(C43-900000*F43)/100000*188</f>
        <v>0</v>
      </c>
      <c r="F43" s="36"/>
      <c r="G43" s="5">
        <v>5.8</v>
      </c>
      <c r="H43" s="3"/>
      <c r="I43" s="74" t="str">
        <f t="shared" si="0"/>
        <v/>
      </c>
      <c r="J43" s="75">
        <f>(H43-900000*K43)/100000*312</f>
        <v>0</v>
      </c>
      <c r="K43" s="3"/>
      <c r="L43" s="5">
        <v>12.6</v>
      </c>
      <c r="M43" s="15"/>
      <c r="N43" s="84" t="str">
        <f t="shared" si="8"/>
        <v/>
      </c>
      <c r="O43" s="85">
        <f>(M43-900000*P43)/100000*520</f>
        <v>0</v>
      </c>
      <c r="P43" s="15"/>
      <c r="Q43" s="5" t="s">
        <v>177</v>
      </c>
      <c r="R43" s="22" t="s">
        <v>177</v>
      </c>
      <c r="S43" s="22" t="s">
        <v>177</v>
      </c>
      <c r="T43" s="22" t="s">
        <v>177</v>
      </c>
      <c r="U43" s="22" t="s">
        <v>177</v>
      </c>
      <c r="V43" s="5" t="s">
        <v>177</v>
      </c>
      <c r="W43" s="22" t="s">
        <v>177</v>
      </c>
      <c r="X43" s="22" t="s">
        <v>177</v>
      </c>
      <c r="Y43" s="22" t="s">
        <v>177</v>
      </c>
      <c r="Z43" s="22" t="s">
        <v>177</v>
      </c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</row>
    <row r="44" spans="1:46" ht="21" customHeight="1" x14ac:dyDescent="0.2">
      <c r="A44" s="9" t="s">
        <v>80</v>
      </c>
      <c r="B44" s="5">
        <v>3.7</v>
      </c>
      <c r="C44" s="36"/>
      <c r="D44" s="79" t="str">
        <f t="shared" si="6"/>
        <v/>
      </c>
      <c r="E44" s="80">
        <f>(C44-900000*F44)/100000*271</f>
        <v>0</v>
      </c>
      <c r="F44" s="36"/>
      <c r="G44" s="5">
        <v>9.8000000000000007</v>
      </c>
      <c r="H44" s="3"/>
      <c r="I44" s="74" t="str">
        <f t="shared" si="0"/>
        <v/>
      </c>
      <c r="J44" s="75">
        <f>(H44-900000*K44)/100000*456</f>
        <v>0</v>
      </c>
      <c r="K44" s="3"/>
      <c r="L44" s="5">
        <v>13.9</v>
      </c>
      <c r="M44" s="15"/>
      <c r="N44" s="84" t="str">
        <f t="shared" si="8"/>
        <v/>
      </c>
      <c r="O44" s="85">
        <f>(M44-900000*P44)/100000*776</f>
        <v>0</v>
      </c>
      <c r="P44" s="15"/>
      <c r="Q44" s="5" t="s">
        <v>177</v>
      </c>
      <c r="R44" s="22" t="s">
        <v>177</v>
      </c>
      <c r="S44" s="22" t="s">
        <v>177</v>
      </c>
      <c r="T44" s="22" t="s">
        <v>177</v>
      </c>
      <c r="U44" s="22" t="s">
        <v>177</v>
      </c>
      <c r="V44" s="5" t="s">
        <v>177</v>
      </c>
      <c r="W44" s="22" t="s">
        <v>177</v>
      </c>
      <c r="X44" s="22" t="s">
        <v>177</v>
      </c>
      <c r="Y44" s="22" t="s">
        <v>177</v>
      </c>
      <c r="Z44" s="22" t="s">
        <v>177</v>
      </c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</row>
    <row r="45" spans="1:46" ht="21" customHeight="1" x14ac:dyDescent="0.2">
      <c r="A45" s="9" t="s">
        <v>81</v>
      </c>
      <c r="B45" s="5">
        <v>4.4000000000000004</v>
      </c>
      <c r="C45" s="36"/>
      <c r="D45" s="79" t="str">
        <f t="shared" si="6"/>
        <v/>
      </c>
      <c r="E45" s="80">
        <f>(C45-900000*F45)/100000*328</f>
        <v>0</v>
      </c>
      <c r="F45" s="36"/>
      <c r="G45" s="5">
        <v>8.1</v>
      </c>
      <c r="H45" s="3"/>
      <c r="I45" s="74" t="str">
        <f t="shared" si="0"/>
        <v/>
      </c>
      <c r="J45" s="75">
        <f>(H45-900000*K45)/100000*429</f>
        <v>0</v>
      </c>
      <c r="K45" s="3"/>
      <c r="L45" s="5">
        <v>14.4</v>
      </c>
      <c r="M45" s="15"/>
      <c r="N45" s="84" t="str">
        <f t="shared" si="8"/>
        <v/>
      </c>
      <c r="O45" s="85">
        <f>(M45-900000*P45)/100000*745</f>
        <v>0</v>
      </c>
      <c r="P45" s="15"/>
      <c r="Q45" s="5" t="s">
        <v>177</v>
      </c>
      <c r="R45" s="22" t="s">
        <v>177</v>
      </c>
      <c r="S45" s="22" t="s">
        <v>177</v>
      </c>
      <c r="T45" s="22" t="s">
        <v>177</v>
      </c>
      <c r="U45" s="22" t="s">
        <v>177</v>
      </c>
      <c r="V45" s="5" t="s">
        <v>177</v>
      </c>
      <c r="W45" s="22" t="s">
        <v>177</v>
      </c>
      <c r="X45" s="22" t="s">
        <v>177</v>
      </c>
      <c r="Y45" s="22" t="s">
        <v>177</v>
      </c>
      <c r="Z45" s="22" t="s">
        <v>177</v>
      </c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</row>
    <row r="46" spans="1:46" ht="21" customHeight="1" x14ac:dyDescent="0.2">
      <c r="A46" s="9" t="s">
        <v>82</v>
      </c>
      <c r="B46" s="5">
        <v>4.7</v>
      </c>
      <c r="C46" s="36"/>
      <c r="D46" s="79" t="str">
        <f t="shared" si="6"/>
        <v/>
      </c>
      <c r="E46" s="80">
        <f>(C46-900000*F46)/100000*338</f>
        <v>0</v>
      </c>
      <c r="F46" s="36"/>
      <c r="G46" s="5">
        <v>10.4</v>
      </c>
      <c r="H46" s="3"/>
      <c r="I46" s="74" t="str">
        <f t="shared" si="0"/>
        <v/>
      </c>
      <c r="J46" s="75">
        <f>(H46-900000*K46)/100000*663</f>
        <v>0</v>
      </c>
      <c r="K46" s="3"/>
      <c r="L46" s="5">
        <v>15.3</v>
      </c>
      <c r="M46" s="15"/>
      <c r="N46" s="84" t="str">
        <f t="shared" si="8"/>
        <v/>
      </c>
      <c r="O46" s="85">
        <f>(M46-900000*P46)/100000*992</f>
        <v>0</v>
      </c>
      <c r="P46" s="15"/>
      <c r="Q46" s="5" t="s">
        <v>177</v>
      </c>
      <c r="R46" s="22" t="s">
        <v>177</v>
      </c>
      <c r="S46" s="22" t="s">
        <v>177</v>
      </c>
      <c r="T46" s="22" t="s">
        <v>177</v>
      </c>
      <c r="U46" s="22" t="s">
        <v>177</v>
      </c>
      <c r="V46" s="5" t="s">
        <v>177</v>
      </c>
      <c r="W46" s="22" t="s">
        <v>177</v>
      </c>
      <c r="X46" s="22" t="s">
        <v>177</v>
      </c>
      <c r="Y46" s="22" t="s">
        <v>177</v>
      </c>
      <c r="Z46" s="22" t="s">
        <v>177</v>
      </c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</row>
    <row r="47" spans="1:46" ht="21" customHeight="1" x14ac:dyDescent="0.2">
      <c r="A47" s="30" t="s">
        <v>83</v>
      </c>
      <c r="B47" s="5">
        <v>2.8</v>
      </c>
      <c r="C47" s="36"/>
      <c r="D47" s="79" t="str">
        <f t="shared" si="6"/>
        <v/>
      </c>
      <c r="E47" s="80">
        <f>(C47-900000*F47)/100000*350</f>
        <v>0</v>
      </c>
      <c r="F47" s="36"/>
      <c r="G47" s="5">
        <v>10.6</v>
      </c>
      <c r="H47" s="3"/>
      <c r="I47" s="74" t="str">
        <f t="shared" si="0"/>
        <v/>
      </c>
      <c r="J47" s="75">
        <f>(H47-900000*K47)/100000*773</f>
        <v>0</v>
      </c>
      <c r="K47" s="3"/>
      <c r="L47" s="5">
        <v>15.9</v>
      </c>
      <c r="M47" s="15"/>
      <c r="N47" s="84" t="str">
        <f t="shared" si="8"/>
        <v/>
      </c>
      <c r="O47" s="85">
        <f>(M47-900000*P47)/100000*1500</f>
        <v>0</v>
      </c>
      <c r="P47" s="15"/>
      <c r="Q47" s="5" t="s">
        <v>177</v>
      </c>
      <c r="R47" s="22" t="s">
        <v>177</v>
      </c>
      <c r="S47" s="22" t="s">
        <v>177</v>
      </c>
      <c r="T47" s="22" t="s">
        <v>177</v>
      </c>
      <c r="U47" s="22" t="s">
        <v>177</v>
      </c>
      <c r="V47" s="5" t="s">
        <v>177</v>
      </c>
      <c r="W47" s="22" t="s">
        <v>177</v>
      </c>
      <c r="X47" s="22" t="s">
        <v>177</v>
      </c>
      <c r="Y47" s="22" t="s">
        <v>177</v>
      </c>
      <c r="Z47" s="22" t="s">
        <v>177</v>
      </c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</row>
    <row r="48" spans="1:46" ht="21" customHeight="1" x14ac:dyDescent="0.2">
      <c r="A48" s="9" t="s">
        <v>84</v>
      </c>
      <c r="B48" s="5">
        <v>7.2</v>
      </c>
      <c r="C48" s="36"/>
      <c r="D48" s="79" t="str">
        <f t="shared" si="6"/>
        <v/>
      </c>
      <c r="E48" s="80">
        <f>(C48-900000*F48)/100000*446</f>
        <v>0</v>
      </c>
      <c r="F48" s="36"/>
      <c r="G48" s="5">
        <v>12.7</v>
      </c>
      <c r="H48" s="3"/>
      <c r="I48" s="74" t="str">
        <f t="shared" si="0"/>
        <v/>
      </c>
      <c r="J48" s="75">
        <f>(H48-900000*K48)/100000*700</f>
        <v>0</v>
      </c>
      <c r="K48" s="3"/>
      <c r="L48" s="5">
        <v>15.7</v>
      </c>
      <c r="M48" s="15"/>
      <c r="N48" s="84" t="str">
        <f t="shared" si="8"/>
        <v/>
      </c>
      <c r="O48" s="85">
        <f>(M48-900000*P48)/100000*1300</f>
        <v>0</v>
      </c>
      <c r="P48" s="15"/>
      <c r="Q48" s="5" t="s">
        <v>177</v>
      </c>
      <c r="R48" s="22" t="s">
        <v>177</v>
      </c>
      <c r="S48" s="22" t="s">
        <v>177</v>
      </c>
      <c r="T48" s="22" t="s">
        <v>177</v>
      </c>
      <c r="U48" s="22" t="s">
        <v>177</v>
      </c>
      <c r="V48" s="5">
        <v>16.8</v>
      </c>
      <c r="W48" s="58"/>
      <c r="X48" s="91" t="str">
        <f>IF(W48="","",IF(AND(W48&gt;=960000,W48&lt;=999999),"V",IF(AND(W48&gt;=920000,W48&lt;=959999),"S",IF(AND(W48&gt;=880000,W48&lt;=919999),"A",IF(AND(W48&gt;=820000,W48&lt;=879999),"B",IF(AND(W48&gt;=700000,W48&lt;=819999),"C",IF(AND(W48&gt;=1,W48&lt;=699999),"F",IF(AND(W48=1000000),"φ",IF(AND(W48=0),"",W48)))))))))</f>
        <v/>
      </c>
      <c r="Y48" s="94">
        <f>(W48-900000*Z48)/100000*1300</f>
        <v>0</v>
      </c>
      <c r="Z48" s="58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</row>
    <row r="49" spans="1:46" ht="16.5" customHeight="1" x14ac:dyDescent="0.2">
      <c r="A49" s="133" t="s">
        <v>44</v>
      </c>
      <c r="B49" s="134"/>
      <c r="C49" s="134"/>
      <c r="D49" s="134"/>
      <c r="E49" s="134"/>
      <c r="F49" s="134"/>
      <c r="G49" s="134"/>
      <c r="H49" s="134"/>
      <c r="I49" s="134"/>
      <c r="J49" s="134"/>
      <c r="K49" s="134"/>
      <c r="L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X49" s="134"/>
      <c r="Y49" s="134"/>
      <c r="Z49" s="13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</row>
    <row r="50" spans="1:46" ht="21" customHeight="1" x14ac:dyDescent="0.2">
      <c r="A50" s="27" t="s">
        <v>45</v>
      </c>
      <c r="B50" s="6">
        <v>4.7</v>
      </c>
      <c r="C50" s="37"/>
      <c r="D50" s="79" t="str">
        <f t="shared" si="6"/>
        <v/>
      </c>
      <c r="E50" s="82"/>
      <c r="F50" s="38"/>
      <c r="G50" s="6">
        <v>8.4</v>
      </c>
      <c r="H50" s="39"/>
      <c r="I50" s="74" t="str">
        <f t="shared" si="0"/>
        <v/>
      </c>
      <c r="J50" s="77"/>
      <c r="K50" s="2"/>
      <c r="L50" s="6">
        <v>12.8</v>
      </c>
      <c r="M50" s="41"/>
      <c r="N50" s="84" t="str">
        <f t="shared" si="8"/>
        <v/>
      </c>
      <c r="O50" s="90"/>
      <c r="P50" s="41"/>
      <c r="Q50" s="6" t="s">
        <v>177</v>
      </c>
      <c r="R50" s="23" t="s">
        <v>177</v>
      </c>
      <c r="S50" s="23" t="s">
        <v>177</v>
      </c>
      <c r="T50" s="23" t="s">
        <v>177</v>
      </c>
      <c r="U50" s="23" t="s">
        <v>177</v>
      </c>
      <c r="V50" s="6" t="s">
        <v>177</v>
      </c>
      <c r="W50" s="23" t="s">
        <v>177</v>
      </c>
      <c r="X50" s="23" t="s">
        <v>177</v>
      </c>
      <c r="Y50" s="23" t="s">
        <v>177</v>
      </c>
      <c r="Z50" s="23" t="s">
        <v>177</v>
      </c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</row>
    <row r="51" spans="1:46" ht="21" customHeight="1" x14ac:dyDescent="0.2">
      <c r="A51" s="27" t="s">
        <v>46</v>
      </c>
      <c r="B51" s="6">
        <v>4.5</v>
      </c>
      <c r="C51" s="37"/>
      <c r="D51" s="79" t="str">
        <f t="shared" si="6"/>
        <v/>
      </c>
      <c r="E51" s="82"/>
      <c r="F51" s="38"/>
      <c r="G51" s="6">
        <v>9.4</v>
      </c>
      <c r="H51" s="39"/>
      <c r="I51" s="74" t="str">
        <f t="shared" si="0"/>
        <v/>
      </c>
      <c r="J51" s="77"/>
      <c r="K51" s="2"/>
      <c r="L51" s="6">
        <v>13.6</v>
      </c>
      <c r="M51" s="41"/>
      <c r="N51" s="84" t="str">
        <f t="shared" si="8"/>
        <v/>
      </c>
      <c r="O51" s="90"/>
      <c r="P51" s="41"/>
      <c r="Q51" s="6" t="s">
        <v>177</v>
      </c>
      <c r="R51" s="23" t="s">
        <v>177</v>
      </c>
      <c r="S51" s="23" t="s">
        <v>177</v>
      </c>
      <c r="T51" s="23" t="s">
        <v>177</v>
      </c>
      <c r="U51" s="23" t="s">
        <v>177</v>
      </c>
      <c r="V51" s="6" t="s">
        <v>177</v>
      </c>
      <c r="W51" s="23" t="s">
        <v>177</v>
      </c>
      <c r="X51" s="23" t="s">
        <v>177</v>
      </c>
      <c r="Y51" s="23" t="s">
        <v>177</v>
      </c>
      <c r="Z51" s="23" t="s">
        <v>177</v>
      </c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</row>
    <row r="52" spans="1:46" ht="21" customHeight="1" x14ac:dyDescent="0.2">
      <c r="A52" s="31" t="s">
        <v>47</v>
      </c>
      <c r="B52" s="6">
        <v>2.6</v>
      </c>
      <c r="C52" s="37"/>
      <c r="D52" s="79" t="str">
        <f t="shared" si="6"/>
        <v/>
      </c>
      <c r="E52" s="82"/>
      <c r="F52" s="38"/>
      <c r="G52" s="6">
        <v>9.8000000000000007</v>
      </c>
      <c r="H52" s="39"/>
      <c r="I52" s="74" t="str">
        <f t="shared" si="0"/>
        <v/>
      </c>
      <c r="J52" s="77"/>
      <c r="K52" s="2"/>
      <c r="L52" s="6">
        <v>13.7</v>
      </c>
      <c r="M52" s="41"/>
      <c r="N52" s="84" t="str">
        <f t="shared" si="8"/>
        <v/>
      </c>
      <c r="O52" s="90"/>
      <c r="P52" s="41"/>
      <c r="Q52" s="6">
        <v>14.1</v>
      </c>
      <c r="R52" s="42"/>
      <c r="S52" s="21" t="str">
        <f>IF(R52="","",IF(AND(R52&gt;=960000,R52&lt;=999999),"V",IF(AND(R52&gt;=920000,R52&lt;=959999),"S",IF(AND(R52&gt;=880000,R52&lt;=919999),"A",IF(AND(R52&gt;=820000,R52&lt;=879999),"B",IF(AND(R52&gt;=700000,R52&lt;=819999),"C",IF(AND(R52&gt;=1,R52&lt;=699999),"F",IF(AND(R52=1000000),"φ",IF(AND(R52=0),"",R52)))))))))</f>
        <v/>
      </c>
      <c r="T52" s="76"/>
      <c r="U52" s="42"/>
      <c r="V52" s="6" t="s">
        <v>177</v>
      </c>
      <c r="W52" s="23" t="s">
        <v>177</v>
      </c>
      <c r="X52" s="23" t="s">
        <v>177</v>
      </c>
      <c r="Y52" s="23" t="s">
        <v>177</v>
      </c>
      <c r="Z52" s="23" t="s">
        <v>177</v>
      </c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</row>
    <row r="53" spans="1:46" ht="21" customHeight="1" x14ac:dyDescent="0.2">
      <c r="A53" s="27" t="s">
        <v>48</v>
      </c>
      <c r="B53" s="6">
        <v>4.8</v>
      </c>
      <c r="C53" s="37"/>
      <c r="D53" s="79" t="str">
        <f t="shared" si="6"/>
        <v/>
      </c>
      <c r="E53" s="82"/>
      <c r="F53" s="38"/>
      <c r="G53" s="6">
        <v>9.6999999999999993</v>
      </c>
      <c r="H53" s="39"/>
      <c r="I53" s="74" t="str">
        <f t="shared" si="0"/>
        <v/>
      </c>
      <c r="J53" s="77"/>
      <c r="K53" s="2"/>
      <c r="L53" s="6">
        <v>14.4</v>
      </c>
      <c r="M53" s="41"/>
      <c r="N53" s="84" t="str">
        <f t="shared" si="8"/>
        <v/>
      </c>
      <c r="O53" s="90"/>
      <c r="P53" s="41"/>
      <c r="Q53" s="6" t="s">
        <v>177</v>
      </c>
      <c r="R53" s="23" t="s">
        <v>177</v>
      </c>
      <c r="S53" s="23" t="s">
        <v>177</v>
      </c>
      <c r="T53" s="23" t="s">
        <v>177</v>
      </c>
      <c r="U53" s="23" t="s">
        <v>177</v>
      </c>
      <c r="V53" s="6" t="s">
        <v>177</v>
      </c>
      <c r="W53" s="23" t="s">
        <v>177</v>
      </c>
      <c r="X53" s="23" t="s">
        <v>177</v>
      </c>
      <c r="Y53" s="23" t="s">
        <v>177</v>
      </c>
      <c r="Z53" s="23" t="s">
        <v>177</v>
      </c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</row>
    <row r="54" spans="1:46" ht="21" customHeight="1" x14ac:dyDescent="0.2">
      <c r="A54" s="27" t="s">
        <v>49</v>
      </c>
      <c r="B54" s="6">
        <v>5.2</v>
      </c>
      <c r="C54" s="37"/>
      <c r="D54" s="79" t="str">
        <f t="shared" si="6"/>
        <v/>
      </c>
      <c r="E54" s="82"/>
      <c r="F54" s="38"/>
      <c r="G54" s="6">
        <v>11.6</v>
      </c>
      <c r="H54" s="39"/>
      <c r="I54" s="74" t="str">
        <f t="shared" si="0"/>
        <v/>
      </c>
      <c r="J54" s="77"/>
      <c r="K54" s="2"/>
      <c r="L54" s="6">
        <v>15.9</v>
      </c>
      <c r="M54" s="41"/>
      <c r="N54" s="84" t="str">
        <f t="shared" si="8"/>
        <v/>
      </c>
      <c r="O54" s="90"/>
      <c r="P54" s="41"/>
      <c r="Q54" s="6" t="s">
        <v>177</v>
      </c>
      <c r="R54" s="23" t="s">
        <v>177</v>
      </c>
      <c r="S54" s="23" t="s">
        <v>177</v>
      </c>
      <c r="T54" s="23" t="s">
        <v>177</v>
      </c>
      <c r="U54" s="23" t="s">
        <v>177</v>
      </c>
      <c r="V54" s="6">
        <v>16.3</v>
      </c>
      <c r="W54" s="59"/>
      <c r="X54" s="91" t="str">
        <f>IF(W54="","",IF(AND(W54&gt;=960000,W54&lt;=999999),"V",IF(AND(W54&gt;=920000,W54&lt;=959999),"S",IF(AND(W54&gt;=880000,W54&lt;=919999),"A",IF(AND(W54&gt;=820000,W54&lt;=879999),"B",IF(AND(W54&gt;=700000,W54&lt;=819999),"C",IF(AND(W54&gt;=1,W54&lt;=699999),"F",IF(AND(W54=1000000),"φ",IF(AND(W54=0),"",W54)))))))))</f>
        <v/>
      </c>
      <c r="Y54" s="93"/>
      <c r="Z54" s="59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</row>
    <row r="55" spans="1:46" ht="16.5" customHeight="1" x14ac:dyDescent="0.2">
      <c r="A55" s="133" t="s">
        <v>85</v>
      </c>
      <c r="B55" s="134"/>
      <c r="C55" s="134"/>
      <c r="D55" s="134"/>
      <c r="E55" s="134"/>
      <c r="F55" s="134"/>
      <c r="G55" s="134"/>
      <c r="H55" s="134"/>
      <c r="I55" s="134"/>
      <c r="J55" s="134"/>
      <c r="K55" s="134"/>
      <c r="L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X55" s="134"/>
      <c r="Y55" s="134"/>
      <c r="Z55" s="13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</row>
    <row r="56" spans="1:46" ht="21" customHeight="1" x14ac:dyDescent="0.2">
      <c r="A56" s="27" t="s">
        <v>86</v>
      </c>
      <c r="B56" s="6">
        <v>1.4</v>
      </c>
      <c r="C56" s="37"/>
      <c r="D56" s="79" t="str">
        <f t="shared" si="6"/>
        <v/>
      </c>
      <c r="E56" s="83"/>
      <c r="F56" s="37"/>
      <c r="G56" s="6">
        <v>7.4</v>
      </c>
      <c r="H56" s="2"/>
      <c r="I56" s="74" t="str">
        <f t="shared" si="0"/>
        <v/>
      </c>
      <c r="J56" s="77"/>
      <c r="K56" s="2"/>
      <c r="L56" s="6">
        <v>11.8</v>
      </c>
      <c r="M56" s="41"/>
      <c r="N56" s="84" t="str">
        <f t="shared" si="8"/>
        <v/>
      </c>
      <c r="O56" s="90"/>
      <c r="P56" s="41"/>
      <c r="Q56" s="6" t="s">
        <v>177</v>
      </c>
      <c r="R56" s="23" t="s">
        <v>177</v>
      </c>
      <c r="S56" s="23" t="s">
        <v>177</v>
      </c>
      <c r="T56" s="23" t="s">
        <v>177</v>
      </c>
      <c r="U56" s="23" t="s">
        <v>177</v>
      </c>
      <c r="V56" s="6" t="s">
        <v>177</v>
      </c>
      <c r="W56" s="23" t="s">
        <v>177</v>
      </c>
      <c r="X56" s="23" t="s">
        <v>177</v>
      </c>
      <c r="Y56" s="23" t="s">
        <v>177</v>
      </c>
      <c r="Z56" s="23" t="s">
        <v>177</v>
      </c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</row>
    <row r="57" spans="1:46" ht="21" customHeight="1" x14ac:dyDescent="0.2">
      <c r="A57" s="27" t="s">
        <v>182</v>
      </c>
      <c r="B57" s="6">
        <v>6.1</v>
      </c>
      <c r="C57" s="37"/>
      <c r="D57" s="79" t="str">
        <f t="shared" si="6"/>
        <v/>
      </c>
      <c r="E57" s="83"/>
      <c r="F57" s="37"/>
      <c r="G57" s="6">
        <v>10.7</v>
      </c>
      <c r="H57" s="2"/>
      <c r="I57" s="74" t="str">
        <f t="shared" si="0"/>
        <v/>
      </c>
      <c r="J57" s="77"/>
      <c r="K57" s="2"/>
      <c r="L57" s="6">
        <v>13.7</v>
      </c>
      <c r="M57" s="41"/>
      <c r="N57" s="84" t="str">
        <f t="shared" si="8"/>
        <v/>
      </c>
      <c r="O57" s="90"/>
      <c r="P57" s="41"/>
      <c r="Q57" s="6" t="s">
        <v>177</v>
      </c>
      <c r="R57" s="23" t="s">
        <v>177</v>
      </c>
      <c r="S57" s="23" t="s">
        <v>177</v>
      </c>
      <c r="T57" s="23" t="s">
        <v>177</v>
      </c>
      <c r="U57" s="23" t="s">
        <v>177</v>
      </c>
      <c r="V57" s="6" t="s">
        <v>177</v>
      </c>
      <c r="W57" s="23" t="s">
        <v>177</v>
      </c>
      <c r="X57" s="23" t="s">
        <v>177</v>
      </c>
      <c r="Y57" s="23" t="s">
        <v>177</v>
      </c>
      <c r="Z57" s="23" t="s">
        <v>177</v>
      </c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</row>
    <row r="58" spans="1:46" ht="21" customHeight="1" x14ac:dyDescent="0.2">
      <c r="A58" s="61" t="s">
        <v>183</v>
      </c>
      <c r="B58" s="6">
        <v>4.7</v>
      </c>
      <c r="C58" s="37"/>
      <c r="D58" s="79" t="str">
        <f t="shared" si="6"/>
        <v/>
      </c>
      <c r="E58" s="83"/>
      <c r="F58" s="37"/>
      <c r="G58" s="6">
        <v>11.4</v>
      </c>
      <c r="H58" s="2"/>
      <c r="I58" s="74" t="str">
        <f t="shared" si="0"/>
        <v/>
      </c>
      <c r="J58" s="77"/>
      <c r="K58" s="2"/>
      <c r="L58" s="6">
        <v>14.6</v>
      </c>
      <c r="M58" s="41"/>
      <c r="N58" s="84" t="str">
        <f t="shared" si="8"/>
        <v/>
      </c>
      <c r="O58" s="90"/>
      <c r="P58" s="41"/>
      <c r="Q58" s="6" t="s">
        <v>177</v>
      </c>
      <c r="R58" s="23" t="s">
        <v>177</v>
      </c>
      <c r="S58" s="23" t="s">
        <v>177</v>
      </c>
      <c r="T58" s="23" t="s">
        <v>177</v>
      </c>
      <c r="U58" s="23" t="s">
        <v>177</v>
      </c>
      <c r="V58" s="6" t="s">
        <v>177</v>
      </c>
      <c r="W58" s="23" t="s">
        <v>177</v>
      </c>
      <c r="X58" s="23" t="s">
        <v>177</v>
      </c>
      <c r="Y58" s="23" t="s">
        <v>177</v>
      </c>
      <c r="Z58" s="23" t="s">
        <v>177</v>
      </c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</row>
    <row r="59" spans="1:46" ht="21" customHeight="1" x14ac:dyDescent="0.2">
      <c r="A59" s="27" t="s">
        <v>184</v>
      </c>
      <c r="B59" s="6">
        <v>4.4000000000000004</v>
      </c>
      <c r="C59" s="37"/>
      <c r="D59" s="79" t="str">
        <f t="shared" si="6"/>
        <v/>
      </c>
      <c r="E59" s="83"/>
      <c r="F59" s="37"/>
      <c r="G59" s="6">
        <v>10.9</v>
      </c>
      <c r="H59" s="2"/>
      <c r="I59" s="74" t="str">
        <f t="shared" si="0"/>
        <v/>
      </c>
      <c r="J59" s="77"/>
      <c r="K59" s="2"/>
      <c r="L59" s="6">
        <v>14.9</v>
      </c>
      <c r="M59" s="41"/>
      <c r="N59" s="84" t="str">
        <f t="shared" si="8"/>
        <v/>
      </c>
      <c r="O59" s="90"/>
      <c r="P59" s="41"/>
      <c r="Q59" s="6" t="s">
        <v>177</v>
      </c>
      <c r="R59" s="23" t="s">
        <v>177</v>
      </c>
      <c r="S59" s="23" t="s">
        <v>177</v>
      </c>
      <c r="T59" s="23" t="s">
        <v>177</v>
      </c>
      <c r="U59" s="23" t="s">
        <v>177</v>
      </c>
      <c r="V59" s="6" t="s">
        <v>177</v>
      </c>
      <c r="W59" s="23" t="s">
        <v>177</v>
      </c>
      <c r="X59" s="23" t="s">
        <v>177</v>
      </c>
      <c r="Y59" s="23" t="s">
        <v>177</v>
      </c>
      <c r="Z59" s="23" t="s">
        <v>177</v>
      </c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</row>
    <row r="60" spans="1:46" ht="21" customHeight="1" x14ac:dyDescent="0.2">
      <c r="A60" s="27" t="s">
        <v>185</v>
      </c>
      <c r="B60" s="6">
        <v>4.2</v>
      </c>
      <c r="C60" s="37"/>
      <c r="D60" s="79" t="str">
        <f t="shared" si="6"/>
        <v/>
      </c>
      <c r="E60" s="83"/>
      <c r="F60" s="37"/>
      <c r="G60" s="6">
        <v>11.1</v>
      </c>
      <c r="H60" s="2"/>
      <c r="I60" s="74" t="str">
        <f t="shared" si="0"/>
        <v/>
      </c>
      <c r="J60" s="77"/>
      <c r="K60" s="2"/>
      <c r="L60" s="6">
        <v>15.3</v>
      </c>
      <c r="M60" s="41"/>
      <c r="N60" s="84" t="str">
        <f t="shared" si="8"/>
        <v/>
      </c>
      <c r="O60" s="90"/>
      <c r="P60" s="41"/>
      <c r="Q60" s="6" t="s">
        <v>177</v>
      </c>
      <c r="R60" s="23" t="s">
        <v>177</v>
      </c>
      <c r="S60" s="23" t="s">
        <v>177</v>
      </c>
      <c r="T60" s="23" t="s">
        <v>177</v>
      </c>
      <c r="U60" s="23" t="s">
        <v>177</v>
      </c>
      <c r="V60" s="6" t="s">
        <v>177</v>
      </c>
      <c r="W60" s="23" t="s">
        <v>177</v>
      </c>
      <c r="X60" s="23" t="s">
        <v>177</v>
      </c>
      <c r="Y60" s="23" t="s">
        <v>177</v>
      </c>
      <c r="Z60" s="23" t="s">
        <v>177</v>
      </c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</row>
    <row r="61" spans="1:46" ht="21" customHeight="1" x14ac:dyDescent="0.2">
      <c r="A61" s="61" t="s">
        <v>186</v>
      </c>
      <c r="B61" s="6">
        <v>7.5</v>
      </c>
      <c r="C61" s="37"/>
      <c r="D61" s="79" t="str">
        <f t="shared" si="6"/>
        <v/>
      </c>
      <c r="E61" s="83"/>
      <c r="F61" s="37"/>
      <c r="G61" s="6">
        <v>12.4</v>
      </c>
      <c r="H61" s="2"/>
      <c r="I61" s="74" t="str">
        <f t="shared" si="0"/>
        <v/>
      </c>
      <c r="J61" s="77"/>
      <c r="K61" s="2"/>
      <c r="L61" s="6">
        <v>14.6</v>
      </c>
      <c r="M61" s="41"/>
      <c r="N61" s="84" t="str">
        <f t="shared" si="8"/>
        <v/>
      </c>
      <c r="O61" s="90"/>
      <c r="P61" s="41"/>
      <c r="Q61" s="6" t="s">
        <v>177</v>
      </c>
      <c r="R61" s="23" t="s">
        <v>177</v>
      </c>
      <c r="S61" s="23" t="s">
        <v>177</v>
      </c>
      <c r="T61" s="23" t="s">
        <v>177</v>
      </c>
      <c r="U61" s="23" t="s">
        <v>177</v>
      </c>
      <c r="V61" s="6">
        <v>16.3</v>
      </c>
      <c r="W61" s="59"/>
      <c r="X61" s="91" t="str">
        <f>IF(W61="","",IF(AND(W61&gt;=960000,W61&lt;=999999),"V",IF(AND(W61&gt;=920000,W61&lt;=959999),"S",IF(AND(W61&gt;=880000,W61&lt;=919999),"A",IF(AND(W61&gt;=820000,W61&lt;=879999),"B",IF(AND(W61&gt;=700000,W61&lt;=819999),"C",IF(AND(W61&gt;=1,W61&lt;=699999),"F",IF(AND(W61=1000000),"φ",IF(AND(W61=0),"",W61)))))))))</f>
        <v/>
      </c>
      <c r="Y61" s="93"/>
      <c r="Z61" s="59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</row>
    <row r="62" spans="1:46" ht="21" customHeight="1" x14ac:dyDescent="0.2">
      <c r="A62" s="133" t="s">
        <v>50</v>
      </c>
      <c r="B62" s="134"/>
      <c r="C62" s="134"/>
      <c r="D62" s="134"/>
      <c r="E62" s="134"/>
      <c r="F62" s="134"/>
      <c r="G62" s="134"/>
      <c r="H62" s="134"/>
      <c r="I62" s="134"/>
      <c r="J62" s="134"/>
      <c r="K62" s="134"/>
      <c r="L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X62" s="134"/>
      <c r="Y62" s="134"/>
      <c r="Z62" s="13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</row>
    <row r="63" spans="1:46" ht="21" customHeight="1" x14ac:dyDescent="0.2">
      <c r="A63" s="27" t="s">
        <v>51</v>
      </c>
      <c r="B63" s="6">
        <v>1.7</v>
      </c>
      <c r="C63" s="37"/>
      <c r="D63" s="79" t="str">
        <f t="shared" si="6"/>
        <v/>
      </c>
      <c r="E63" s="83"/>
      <c r="F63" s="37"/>
      <c r="G63" s="6">
        <v>5.6</v>
      </c>
      <c r="H63" s="2"/>
      <c r="I63" s="74" t="str">
        <f t="shared" si="0"/>
        <v/>
      </c>
      <c r="J63" s="77"/>
      <c r="K63" s="2"/>
      <c r="L63" s="6">
        <v>13.6</v>
      </c>
      <c r="M63" s="41"/>
      <c r="N63" s="84" t="str">
        <f t="shared" si="8"/>
        <v/>
      </c>
      <c r="O63" s="90"/>
      <c r="P63" s="41"/>
      <c r="Q63" s="6">
        <v>13.2</v>
      </c>
      <c r="R63" s="42"/>
      <c r="S63" s="21" t="str">
        <f>IF(R63="","",IF(AND(R63&gt;=960000,R63&lt;=999999),"V",IF(AND(R63&gt;=920000,R63&lt;=959999),"S",IF(AND(R63&gt;=880000,R63&lt;=919999),"A",IF(AND(R63&gt;=820000,R63&lt;=879999),"B",IF(AND(R63&gt;=700000,R63&lt;=819999),"C",IF(AND(R63&gt;=1,R63&lt;=699999),"F",IF(AND(R63=1000000),"φ",IF(AND(R63=0),"",R63)))))))))</f>
        <v/>
      </c>
      <c r="T63" s="76"/>
      <c r="U63" s="42"/>
      <c r="V63" s="6" t="s">
        <v>177</v>
      </c>
      <c r="W63" s="23" t="s">
        <v>177</v>
      </c>
      <c r="X63" s="23" t="s">
        <v>177</v>
      </c>
      <c r="Y63" s="23" t="s">
        <v>177</v>
      </c>
      <c r="Z63" s="23" t="s">
        <v>177</v>
      </c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</row>
    <row r="64" spans="1:46" ht="21" customHeight="1" x14ac:dyDescent="0.2">
      <c r="A64" s="27" t="s">
        <v>52</v>
      </c>
      <c r="B64" s="6">
        <v>2.7</v>
      </c>
      <c r="C64" s="37"/>
      <c r="D64" s="79" t="str">
        <f t="shared" si="6"/>
        <v/>
      </c>
      <c r="E64" s="83"/>
      <c r="F64" s="37"/>
      <c r="G64" s="6">
        <v>11.3</v>
      </c>
      <c r="H64" s="2"/>
      <c r="I64" s="74" t="str">
        <f t="shared" si="0"/>
        <v/>
      </c>
      <c r="J64" s="77"/>
      <c r="K64" s="2"/>
      <c r="L64" s="6">
        <v>14.7</v>
      </c>
      <c r="M64" s="41"/>
      <c r="N64" s="84" t="str">
        <f t="shared" si="8"/>
        <v/>
      </c>
      <c r="O64" s="90"/>
      <c r="P64" s="41"/>
      <c r="Q64" s="6" t="s">
        <v>177</v>
      </c>
      <c r="R64" s="23" t="s">
        <v>177</v>
      </c>
      <c r="S64" s="23" t="s">
        <v>177</v>
      </c>
      <c r="T64" s="23" t="s">
        <v>177</v>
      </c>
      <c r="U64" s="23" t="s">
        <v>177</v>
      </c>
      <c r="V64" s="6" t="s">
        <v>177</v>
      </c>
      <c r="W64" s="23" t="s">
        <v>177</v>
      </c>
      <c r="X64" s="23" t="s">
        <v>177</v>
      </c>
      <c r="Y64" s="23" t="s">
        <v>177</v>
      </c>
      <c r="Z64" s="23" t="s">
        <v>177</v>
      </c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</row>
    <row r="65" spans="1:46" ht="21" customHeight="1" x14ac:dyDescent="0.2">
      <c r="A65" s="32" t="s">
        <v>53</v>
      </c>
      <c r="B65" s="6">
        <v>6.6</v>
      </c>
      <c r="C65" s="37"/>
      <c r="D65" s="79" t="str">
        <f t="shared" si="6"/>
        <v/>
      </c>
      <c r="E65" s="83"/>
      <c r="F65" s="37"/>
      <c r="G65" s="6">
        <v>11.9</v>
      </c>
      <c r="H65" s="2"/>
      <c r="I65" s="74" t="str">
        <f t="shared" si="0"/>
        <v/>
      </c>
      <c r="J65" s="77"/>
      <c r="K65" s="2"/>
      <c r="L65" s="6">
        <v>14.8</v>
      </c>
      <c r="M65" s="41"/>
      <c r="N65" s="84" t="str">
        <f t="shared" si="8"/>
        <v/>
      </c>
      <c r="O65" s="90"/>
      <c r="P65" s="41"/>
      <c r="Q65" s="6" t="s">
        <v>177</v>
      </c>
      <c r="R65" s="23" t="s">
        <v>177</v>
      </c>
      <c r="S65" s="23" t="s">
        <v>177</v>
      </c>
      <c r="T65" s="23" t="s">
        <v>177</v>
      </c>
      <c r="U65" s="23" t="s">
        <v>177</v>
      </c>
      <c r="V65" s="6" t="s">
        <v>177</v>
      </c>
      <c r="W65" s="23" t="s">
        <v>177</v>
      </c>
      <c r="X65" s="23" t="s">
        <v>177</v>
      </c>
      <c r="Y65" s="23" t="s">
        <v>177</v>
      </c>
      <c r="Z65" s="23" t="s">
        <v>177</v>
      </c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</row>
    <row r="66" spans="1:46" ht="21" customHeight="1" x14ac:dyDescent="0.2">
      <c r="A66" s="33" t="s">
        <v>54</v>
      </c>
      <c r="B66" s="6">
        <v>5.9</v>
      </c>
      <c r="C66" s="37"/>
      <c r="D66" s="79" t="str">
        <f t="shared" si="6"/>
        <v/>
      </c>
      <c r="E66" s="83"/>
      <c r="F66" s="37"/>
      <c r="G66" s="6">
        <v>10.8</v>
      </c>
      <c r="H66" s="2"/>
      <c r="I66" s="74" t="str">
        <f t="shared" si="0"/>
        <v/>
      </c>
      <c r="J66" s="77"/>
      <c r="K66" s="2"/>
      <c r="L66" s="6">
        <v>14.9</v>
      </c>
      <c r="M66" s="41"/>
      <c r="N66" s="84" t="str">
        <f t="shared" si="8"/>
        <v/>
      </c>
      <c r="O66" s="90"/>
      <c r="P66" s="41"/>
      <c r="Q66" s="6">
        <v>15.1</v>
      </c>
      <c r="R66" s="42"/>
      <c r="S66" s="21" t="str">
        <f>IF(R66="","",IF(AND(R66&gt;=960000,R66&lt;=999999),"V",IF(AND(R66&gt;=920000,R66&lt;=959999),"S",IF(AND(R66&gt;=880000,R66&lt;=919999),"A",IF(AND(R66&gt;=820000,R66&lt;=879999),"B",IF(AND(R66&gt;=700000,R66&lt;=819999),"C",IF(AND(R66&gt;=1,R66&lt;=699999),"F",IF(AND(R66=1000000),"φ",IF(AND(R66=0),"",R66)))))))))</f>
        <v/>
      </c>
      <c r="T66" s="76"/>
      <c r="U66" s="42"/>
      <c r="V66" s="6" t="s">
        <v>177</v>
      </c>
      <c r="W66" s="23" t="s">
        <v>177</v>
      </c>
      <c r="X66" s="23" t="s">
        <v>177</v>
      </c>
      <c r="Y66" s="23" t="s">
        <v>177</v>
      </c>
      <c r="Z66" s="23" t="s">
        <v>177</v>
      </c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</row>
    <row r="67" spans="1:46" ht="21" customHeight="1" x14ac:dyDescent="0.2">
      <c r="A67" s="27" t="s">
        <v>55</v>
      </c>
      <c r="B67" s="6">
        <v>6.8</v>
      </c>
      <c r="C67" s="37"/>
      <c r="D67" s="79" t="str">
        <f t="shared" si="6"/>
        <v/>
      </c>
      <c r="E67" s="83"/>
      <c r="F67" s="37"/>
      <c r="G67" s="6">
        <v>11.6</v>
      </c>
      <c r="H67" s="2"/>
      <c r="I67" s="74" t="str">
        <f t="shared" si="0"/>
        <v/>
      </c>
      <c r="J67" s="77"/>
      <c r="K67" s="2"/>
      <c r="L67" s="6">
        <v>15.9</v>
      </c>
      <c r="M67" s="41"/>
      <c r="N67" s="84" t="str">
        <f t="shared" si="8"/>
        <v/>
      </c>
      <c r="O67" s="90"/>
      <c r="P67" s="41"/>
      <c r="Q67" s="6" t="s">
        <v>177</v>
      </c>
      <c r="R67" s="23" t="s">
        <v>177</v>
      </c>
      <c r="S67" s="23" t="s">
        <v>177</v>
      </c>
      <c r="T67" s="23" t="s">
        <v>177</v>
      </c>
      <c r="U67" s="23" t="s">
        <v>177</v>
      </c>
      <c r="V67" s="6" t="s">
        <v>177</v>
      </c>
      <c r="W67" s="23" t="s">
        <v>177</v>
      </c>
      <c r="X67" s="23" t="s">
        <v>177</v>
      </c>
      <c r="Y67" s="23" t="s">
        <v>177</v>
      </c>
      <c r="Z67" s="23" t="s">
        <v>177</v>
      </c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</row>
    <row r="68" spans="1:46" ht="21" customHeight="1" x14ac:dyDescent="0.2">
      <c r="A68" s="133" t="s">
        <v>56</v>
      </c>
      <c r="B68" s="134"/>
      <c r="C68" s="134"/>
      <c r="D68" s="134"/>
      <c r="E68" s="134"/>
      <c r="F68" s="134"/>
      <c r="G68" s="134"/>
      <c r="H68" s="134"/>
      <c r="I68" s="134"/>
      <c r="J68" s="134"/>
      <c r="K68" s="134"/>
      <c r="L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X68" s="134"/>
      <c r="Y68" s="134"/>
      <c r="Z68" s="13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</row>
    <row r="69" spans="1:46" ht="21" customHeight="1" x14ac:dyDescent="0.2">
      <c r="A69" s="27" t="s">
        <v>57</v>
      </c>
      <c r="B69" s="6">
        <v>3.3</v>
      </c>
      <c r="C69" s="37"/>
      <c r="D69" s="79" t="str">
        <f t="shared" si="6"/>
        <v/>
      </c>
      <c r="E69" s="83"/>
      <c r="F69" s="37"/>
      <c r="G69" s="6">
        <v>8.4</v>
      </c>
      <c r="H69" s="2"/>
      <c r="I69" s="74" t="str">
        <f t="shared" si="0"/>
        <v/>
      </c>
      <c r="J69" s="77"/>
      <c r="K69" s="2"/>
      <c r="L69" s="6">
        <v>13.6</v>
      </c>
      <c r="M69" s="41"/>
      <c r="N69" s="84" t="str">
        <f t="shared" si="8"/>
        <v/>
      </c>
      <c r="O69" s="90"/>
      <c r="P69" s="41"/>
      <c r="Q69" s="6" t="s">
        <v>177</v>
      </c>
      <c r="R69" s="23" t="s">
        <v>177</v>
      </c>
      <c r="S69" s="23" t="s">
        <v>177</v>
      </c>
      <c r="T69" s="23" t="s">
        <v>177</v>
      </c>
      <c r="U69" s="23" t="s">
        <v>177</v>
      </c>
      <c r="V69" s="6" t="s">
        <v>177</v>
      </c>
      <c r="W69" s="23" t="s">
        <v>177</v>
      </c>
      <c r="X69" s="23" t="s">
        <v>177</v>
      </c>
      <c r="Y69" s="23" t="s">
        <v>177</v>
      </c>
      <c r="Z69" s="23" t="s">
        <v>177</v>
      </c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</row>
    <row r="70" spans="1:46" ht="21" customHeight="1" x14ac:dyDescent="0.2">
      <c r="A70" s="27" t="s">
        <v>58</v>
      </c>
      <c r="B70" s="6">
        <v>5.4</v>
      </c>
      <c r="C70" s="37"/>
      <c r="D70" s="79" t="str">
        <f t="shared" si="6"/>
        <v/>
      </c>
      <c r="E70" s="83"/>
      <c r="F70" s="37"/>
      <c r="G70" s="6">
        <v>9.8000000000000007</v>
      </c>
      <c r="H70" s="2"/>
      <c r="I70" s="74" t="str">
        <f t="shared" si="0"/>
        <v/>
      </c>
      <c r="J70" s="77"/>
      <c r="K70" s="2"/>
      <c r="L70" s="6">
        <v>14.7</v>
      </c>
      <c r="M70" s="41"/>
      <c r="N70" s="84" t="str">
        <f t="shared" si="8"/>
        <v/>
      </c>
      <c r="O70" s="90"/>
      <c r="P70" s="41"/>
      <c r="Q70" s="6" t="s">
        <v>177</v>
      </c>
      <c r="R70" s="23" t="s">
        <v>177</v>
      </c>
      <c r="S70" s="23" t="s">
        <v>177</v>
      </c>
      <c r="T70" s="23" t="s">
        <v>177</v>
      </c>
      <c r="U70" s="23" t="s">
        <v>177</v>
      </c>
      <c r="V70" s="6" t="s">
        <v>177</v>
      </c>
      <c r="W70" s="23" t="s">
        <v>177</v>
      </c>
      <c r="X70" s="23" t="s">
        <v>177</v>
      </c>
      <c r="Y70" s="23" t="s">
        <v>177</v>
      </c>
      <c r="Z70" s="23" t="s">
        <v>177</v>
      </c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</row>
    <row r="71" spans="1:46" ht="21" customHeight="1" x14ac:dyDescent="0.2">
      <c r="A71" s="27" t="s">
        <v>59</v>
      </c>
      <c r="B71" s="6">
        <v>7.7</v>
      </c>
      <c r="C71" s="37"/>
      <c r="D71" s="79" t="str">
        <f t="shared" si="6"/>
        <v/>
      </c>
      <c r="E71" s="83"/>
      <c r="F71" s="37"/>
      <c r="G71" s="6">
        <v>12.8</v>
      </c>
      <c r="H71" s="2"/>
      <c r="I71" s="74" t="str">
        <f t="shared" ref="I71:I141" si="9">IF(H71="","",IF(AND(H71&gt;=960000,H71&lt;=999999),"V",IF(AND(H71&gt;=920000,H71&lt;=959999),"S",IF(AND(H71&gt;=880000,H71&lt;=919999),"A",IF(AND(H71&gt;=820000,H71&lt;=879999),"B",IF(AND(H71&gt;=700000,H71&lt;=819999),"C",IF(AND(H71&gt;=1,H71&lt;=699999),"F",IF(AND(H71=1000000),"φ",IF(AND(H71=0),"",H71)))))))))</f>
        <v/>
      </c>
      <c r="J71" s="77"/>
      <c r="K71" s="2"/>
      <c r="L71" s="6">
        <v>15.9</v>
      </c>
      <c r="M71" s="41"/>
      <c r="N71" s="84" t="str">
        <f t="shared" si="8"/>
        <v/>
      </c>
      <c r="O71" s="90"/>
      <c r="P71" s="41"/>
      <c r="Q71" s="6" t="s">
        <v>177</v>
      </c>
      <c r="R71" s="23" t="s">
        <v>177</v>
      </c>
      <c r="S71" s="23" t="s">
        <v>177</v>
      </c>
      <c r="T71" s="23" t="s">
        <v>177</v>
      </c>
      <c r="U71" s="23" t="s">
        <v>177</v>
      </c>
      <c r="V71" s="6" t="s">
        <v>177</v>
      </c>
      <c r="W71" s="23" t="s">
        <v>177</v>
      </c>
      <c r="X71" s="23" t="s">
        <v>177</v>
      </c>
      <c r="Y71" s="23" t="s">
        <v>177</v>
      </c>
      <c r="Z71" s="23" t="s">
        <v>177</v>
      </c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</row>
    <row r="72" spans="1:46" ht="21" customHeight="1" x14ac:dyDescent="0.2">
      <c r="A72" s="133" t="s">
        <v>60</v>
      </c>
      <c r="B72" s="134"/>
      <c r="C72" s="134"/>
      <c r="D72" s="134"/>
      <c r="E72" s="134"/>
      <c r="F72" s="134"/>
      <c r="G72" s="134"/>
      <c r="H72" s="134"/>
      <c r="I72" s="134"/>
      <c r="J72" s="134"/>
      <c r="K72" s="134"/>
      <c r="L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X72" s="134"/>
      <c r="Y72" s="134"/>
      <c r="Z72" s="13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</row>
    <row r="73" spans="1:46" ht="16.5" customHeight="1" x14ac:dyDescent="0.2">
      <c r="A73" s="27" t="s">
        <v>61</v>
      </c>
      <c r="B73" s="6">
        <v>5.4</v>
      </c>
      <c r="C73" s="37"/>
      <c r="D73" s="79" t="str">
        <f t="shared" si="6"/>
        <v/>
      </c>
      <c r="E73" s="83"/>
      <c r="F73" s="37"/>
      <c r="G73" s="6">
        <v>10.8</v>
      </c>
      <c r="H73" s="2"/>
      <c r="I73" s="74" t="str">
        <f t="shared" si="9"/>
        <v/>
      </c>
      <c r="J73" s="77"/>
      <c r="K73" s="2"/>
      <c r="L73" s="6">
        <v>14.2</v>
      </c>
      <c r="M73" s="41"/>
      <c r="N73" s="84" t="str">
        <f t="shared" si="8"/>
        <v/>
      </c>
      <c r="O73" s="90"/>
      <c r="P73" s="41"/>
      <c r="Q73" s="6" t="s">
        <v>177</v>
      </c>
      <c r="R73" s="23" t="s">
        <v>177</v>
      </c>
      <c r="S73" s="23" t="s">
        <v>177</v>
      </c>
      <c r="T73" s="23" t="s">
        <v>177</v>
      </c>
      <c r="U73" s="23" t="s">
        <v>177</v>
      </c>
      <c r="V73" s="6" t="s">
        <v>177</v>
      </c>
      <c r="W73" s="23" t="s">
        <v>177</v>
      </c>
      <c r="X73" s="23" t="s">
        <v>177</v>
      </c>
      <c r="Y73" s="23" t="s">
        <v>177</v>
      </c>
      <c r="Z73" s="23" t="s">
        <v>177</v>
      </c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</row>
    <row r="74" spans="1:46" ht="21" customHeight="1" x14ac:dyDescent="0.2">
      <c r="A74" s="27" t="s">
        <v>62</v>
      </c>
      <c r="B74" s="6">
        <v>5.7</v>
      </c>
      <c r="C74" s="37"/>
      <c r="D74" s="79" t="str">
        <f t="shared" si="6"/>
        <v/>
      </c>
      <c r="E74" s="83"/>
      <c r="F74" s="37"/>
      <c r="G74" s="6">
        <v>11.6</v>
      </c>
      <c r="H74" s="2"/>
      <c r="I74" s="74" t="str">
        <f t="shared" si="9"/>
        <v/>
      </c>
      <c r="J74" s="77"/>
      <c r="K74" s="2"/>
      <c r="L74" s="6">
        <v>14.4</v>
      </c>
      <c r="M74" s="41"/>
      <c r="N74" s="84" t="str">
        <f t="shared" si="8"/>
        <v/>
      </c>
      <c r="O74" s="90"/>
      <c r="P74" s="41"/>
      <c r="Q74" s="6" t="s">
        <v>177</v>
      </c>
      <c r="R74" s="23" t="s">
        <v>177</v>
      </c>
      <c r="S74" s="23" t="s">
        <v>177</v>
      </c>
      <c r="T74" s="23" t="s">
        <v>177</v>
      </c>
      <c r="U74" s="23" t="s">
        <v>177</v>
      </c>
      <c r="V74" s="6" t="s">
        <v>177</v>
      </c>
      <c r="W74" s="23" t="s">
        <v>177</v>
      </c>
      <c r="X74" s="23" t="s">
        <v>177</v>
      </c>
      <c r="Y74" s="23" t="s">
        <v>177</v>
      </c>
      <c r="Z74" s="23" t="s">
        <v>177</v>
      </c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</row>
    <row r="75" spans="1:46" ht="21" customHeight="1" x14ac:dyDescent="0.2">
      <c r="A75" s="27" t="s">
        <v>63</v>
      </c>
      <c r="B75" s="6">
        <v>3.2</v>
      </c>
      <c r="C75" s="37"/>
      <c r="D75" s="79" t="str">
        <f t="shared" si="6"/>
        <v/>
      </c>
      <c r="E75" s="83"/>
      <c r="F75" s="37"/>
      <c r="G75" s="6">
        <v>11.4</v>
      </c>
      <c r="H75" s="2"/>
      <c r="I75" s="74" t="str">
        <f t="shared" si="9"/>
        <v/>
      </c>
      <c r="J75" s="77"/>
      <c r="K75" s="2"/>
      <c r="L75" s="6">
        <v>14.5</v>
      </c>
      <c r="M75" s="41"/>
      <c r="N75" s="84" t="str">
        <f t="shared" si="8"/>
        <v/>
      </c>
      <c r="O75" s="90"/>
      <c r="P75" s="41"/>
      <c r="Q75" s="6" t="s">
        <v>177</v>
      </c>
      <c r="R75" s="23" t="s">
        <v>177</v>
      </c>
      <c r="S75" s="23" t="s">
        <v>177</v>
      </c>
      <c r="T75" s="23" t="s">
        <v>177</v>
      </c>
      <c r="U75" s="23" t="s">
        <v>177</v>
      </c>
      <c r="V75" s="6" t="s">
        <v>177</v>
      </c>
      <c r="W75" s="23" t="s">
        <v>177</v>
      </c>
      <c r="X75" s="23" t="s">
        <v>177</v>
      </c>
      <c r="Y75" s="23" t="s">
        <v>177</v>
      </c>
      <c r="Z75" s="23" t="s">
        <v>177</v>
      </c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</row>
    <row r="76" spans="1:46" ht="21" customHeight="1" x14ac:dyDescent="0.2">
      <c r="A76" s="27" t="s">
        <v>64</v>
      </c>
      <c r="B76" s="6">
        <v>7.3</v>
      </c>
      <c r="C76" s="37"/>
      <c r="D76" s="79" t="str">
        <f t="shared" si="6"/>
        <v/>
      </c>
      <c r="E76" s="83"/>
      <c r="F76" s="37"/>
      <c r="G76" s="6">
        <v>8.6999999999999993</v>
      </c>
      <c r="H76" s="2"/>
      <c r="I76" s="74" t="str">
        <f t="shared" si="9"/>
        <v/>
      </c>
      <c r="J76" s="77"/>
      <c r="K76" s="2"/>
      <c r="L76" s="6">
        <v>15.4</v>
      </c>
      <c r="M76" s="41"/>
      <c r="N76" s="84" t="str">
        <f t="shared" si="8"/>
        <v/>
      </c>
      <c r="O76" s="90"/>
      <c r="P76" s="41"/>
      <c r="Q76" s="6" t="s">
        <v>177</v>
      </c>
      <c r="R76" s="23" t="s">
        <v>177</v>
      </c>
      <c r="S76" s="23" t="s">
        <v>177</v>
      </c>
      <c r="T76" s="23" t="s">
        <v>177</v>
      </c>
      <c r="U76" s="23" t="s">
        <v>177</v>
      </c>
      <c r="V76" s="6" t="s">
        <v>177</v>
      </c>
      <c r="W76" s="23" t="s">
        <v>177</v>
      </c>
      <c r="X76" s="23" t="s">
        <v>177</v>
      </c>
      <c r="Y76" s="23" t="s">
        <v>177</v>
      </c>
      <c r="Z76" s="23" t="s">
        <v>177</v>
      </c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</row>
    <row r="77" spans="1:46" ht="21" customHeight="1" x14ac:dyDescent="0.2">
      <c r="A77" s="27" t="s">
        <v>65</v>
      </c>
      <c r="B77" s="6">
        <v>4.5999999999999996</v>
      </c>
      <c r="C77" s="37"/>
      <c r="D77" s="79" t="str">
        <f t="shared" si="6"/>
        <v/>
      </c>
      <c r="E77" s="83"/>
      <c r="F77" s="37"/>
      <c r="G77" s="6">
        <v>7.8</v>
      </c>
      <c r="H77" s="2"/>
      <c r="I77" s="74" t="str">
        <f t="shared" si="9"/>
        <v/>
      </c>
      <c r="J77" s="77"/>
      <c r="K77" s="2"/>
      <c r="L77" s="6">
        <v>15.8</v>
      </c>
      <c r="M77" s="41"/>
      <c r="N77" s="84" t="str">
        <f t="shared" si="8"/>
        <v/>
      </c>
      <c r="O77" s="90"/>
      <c r="P77" s="41"/>
      <c r="Q77" s="6" t="s">
        <v>177</v>
      </c>
      <c r="R77" s="23" t="s">
        <v>177</v>
      </c>
      <c r="S77" s="23" t="s">
        <v>177</v>
      </c>
      <c r="T77" s="23" t="s">
        <v>177</v>
      </c>
      <c r="U77" s="23" t="s">
        <v>177</v>
      </c>
      <c r="V77" s="6" t="s">
        <v>177</v>
      </c>
      <c r="W77" s="23" t="s">
        <v>177</v>
      </c>
      <c r="X77" s="23" t="s">
        <v>177</v>
      </c>
      <c r="Y77" s="23" t="s">
        <v>177</v>
      </c>
      <c r="Z77" s="23" t="s">
        <v>177</v>
      </c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</row>
    <row r="78" spans="1:46" ht="16.5" customHeight="1" x14ac:dyDescent="0.2">
      <c r="A78" s="133" t="s">
        <v>66</v>
      </c>
      <c r="B78" s="134"/>
      <c r="C78" s="134"/>
      <c r="D78" s="134"/>
      <c r="E78" s="134"/>
      <c r="F78" s="134"/>
      <c r="G78" s="134"/>
      <c r="H78" s="134"/>
      <c r="I78" s="134"/>
      <c r="J78" s="134"/>
      <c r="K78" s="134"/>
      <c r="L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X78" s="134"/>
      <c r="Y78" s="134"/>
      <c r="Z78" s="13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</row>
    <row r="79" spans="1:46" ht="21" customHeight="1" x14ac:dyDescent="0.2">
      <c r="A79" s="27" t="s">
        <v>67</v>
      </c>
      <c r="B79" s="6">
        <v>2.5</v>
      </c>
      <c r="C79" s="37"/>
      <c r="D79" s="79" t="str">
        <f t="shared" si="6"/>
        <v/>
      </c>
      <c r="E79" s="83"/>
      <c r="F79" s="37"/>
      <c r="G79" s="6">
        <v>7.2</v>
      </c>
      <c r="H79" s="2"/>
      <c r="I79" s="74" t="str">
        <f t="shared" si="9"/>
        <v/>
      </c>
      <c r="J79" s="77"/>
      <c r="K79" s="2"/>
      <c r="L79" s="6">
        <v>11.6</v>
      </c>
      <c r="M79" s="41"/>
      <c r="N79" s="84" t="str">
        <f t="shared" si="8"/>
        <v/>
      </c>
      <c r="O79" s="90"/>
      <c r="P79" s="41"/>
      <c r="Q79" s="6" t="s">
        <v>177</v>
      </c>
      <c r="R79" s="23" t="s">
        <v>177</v>
      </c>
      <c r="S79" s="23" t="s">
        <v>177</v>
      </c>
      <c r="T79" s="23" t="s">
        <v>177</v>
      </c>
      <c r="U79" s="23" t="s">
        <v>177</v>
      </c>
      <c r="V79" s="6" t="s">
        <v>177</v>
      </c>
      <c r="W79" s="23" t="s">
        <v>177</v>
      </c>
      <c r="X79" s="23" t="s">
        <v>177</v>
      </c>
      <c r="Y79" s="23" t="s">
        <v>177</v>
      </c>
      <c r="Z79" s="23" t="s">
        <v>177</v>
      </c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</row>
    <row r="80" spans="1:46" ht="21" customHeight="1" x14ac:dyDescent="0.2">
      <c r="A80" s="27" t="s">
        <v>68</v>
      </c>
      <c r="B80" s="6">
        <v>3.6</v>
      </c>
      <c r="C80" s="37"/>
      <c r="D80" s="79" t="str">
        <f t="shared" si="6"/>
        <v/>
      </c>
      <c r="E80" s="83"/>
      <c r="F80" s="37"/>
      <c r="G80" s="6">
        <v>7.4</v>
      </c>
      <c r="H80" s="2"/>
      <c r="I80" s="74" t="str">
        <f t="shared" si="9"/>
        <v/>
      </c>
      <c r="J80" s="77"/>
      <c r="K80" s="2"/>
      <c r="L80" s="6">
        <v>12.6</v>
      </c>
      <c r="M80" s="41"/>
      <c r="N80" s="84" t="str">
        <f t="shared" si="8"/>
        <v/>
      </c>
      <c r="O80" s="90"/>
      <c r="P80" s="41"/>
      <c r="Q80" s="6" t="s">
        <v>177</v>
      </c>
      <c r="R80" s="23" t="s">
        <v>177</v>
      </c>
      <c r="S80" s="23" t="s">
        <v>177</v>
      </c>
      <c r="T80" s="23" t="s">
        <v>177</v>
      </c>
      <c r="U80" s="23" t="s">
        <v>177</v>
      </c>
      <c r="V80" s="6" t="s">
        <v>177</v>
      </c>
      <c r="W80" s="23" t="s">
        <v>177</v>
      </c>
      <c r="X80" s="23" t="s">
        <v>177</v>
      </c>
      <c r="Y80" s="23" t="s">
        <v>177</v>
      </c>
      <c r="Z80" s="23" t="s">
        <v>177</v>
      </c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</row>
    <row r="81" spans="1:46" ht="21" customHeight="1" x14ac:dyDescent="0.2">
      <c r="A81" s="27" t="s">
        <v>69</v>
      </c>
      <c r="B81" s="6">
        <v>4.5</v>
      </c>
      <c r="C81" s="37"/>
      <c r="D81" s="79" t="str">
        <f t="shared" si="6"/>
        <v/>
      </c>
      <c r="E81" s="83"/>
      <c r="F81" s="37"/>
      <c r="G81" s="6">
        <v>8.6999999999999993</v>
      </c>
      <c r="H81" s="2"/>
      <c r="I81" s="74" t="str">
        <f t="shared" si="9"/>
        <v/>
      </c>
      <c r="J81" s="77"/>
      <c r="K81" s="2"/>
      <c r="L81" s="6">
        <v>13.5</v>
      </c>
      <c r="M81" s="41"/>
      <c r="N81" s="84" t="str">
        <f t="shared" si="8"/>
        <v/>
      </c>
      <c r="O81" s="90"/>
      <c r="P81" s="41"/>
      <c r="Q81" s="6" t="s">
        <v>177</v>
      </c>
      <c r="R81" s="23" t="s">
        <v>177</v>
      </c>
      <c r="S81" s="23" t="s">
        <v>177</v>
      </c>
      <c r="T81" s="23" t="s">
        <v>177</v>
      </c>
      <c r="U81" s="23" t="s">
        <v>177</v>
      </c>
      <c r="V81" s="6" t="s">
        <v>177</v>
      </c>
      <c r="W81" s="23" t="s">
        <v>177</v>
      </c>
      <c r="X81" s="23" t="s">
        <v>177</v>
      </c>
      <c r="Y81" s="23" t="s">
        <v>177</v>
      </c>
      <c r="Z81" s="23" t="s">
        <v>177</v>
      </c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</row>
    <row r="82" spans="1:46" ht="16.5" customHeight="1" x14ac:dyDescent="0.2">
      <c r="A82" s="27" t="s">
        <v>70</v>
      </c>
      <c r="B82" s="6">
        <v>7.3</v>
      </c>
      <c r="C82" s="37"/>
      <c r="D82" s="79" t="str">
        <f t="shared" si="6"/>
        <v/>
      </c>
      <c r="E82" s="83"/>
      <c r="F82" s="37"/>
      <c r="G82" s="6">
        <v>11.9</v>
      </c>
      <c r="H82" s="2"/>
      <c r="I82" s="74" t="str">
        <f t="shared" si="9"/>
        <v/>
      </c>
      <c r="J82" s="77"/>
      <c r="K82" s="2"/>
      <c r="L82" s="6">
        <v>14.8</v>
      </c>
      <c r="M82" s="41"/>
      <c r="N82" s="84" t="str">
        <f t="shared" si="8"/>
        <v/>
      </c>
      <c r="O82" s="90"/>
      <c r="P82" s="41"/>
      <c r="Q82" s="6" t="s">
        <v>177</v>
      </c>
      <c r="R82" s="23" t="s">
        <v>177</v>
      </c>
      <c r="S82" s="23" t="s">
        <v>177</v>
      </c>
      <c r="T82" s="23" t="s">
        <v>177</v>
      </c>
      <c r="U82" s="23" t="s">
        <v>177</v>
      </c>
      <c r="V82" s="6">
        <v>16.2</v>
      </c>
      <c r="W82" s="59"/>
      <c r="X82" s="91" t="str">
        <f>IF(W82="","",IF(AND(W82&gt;=960000,W82&lt;=999999),"V",IF(AND(W82&gt;=920000,W82&lt;=959999),"S",IF(AND(W82&gt;=880000,W82&lt;=919999),"A",IF(AND(W82&gt;=820000,W82&lt;=879999),"B",IF(AND(W82&gt;=700000,W82&lt;=819999),"C",IF(AND(W82&gt;=1,W82&lt;=699999),"F",IF(AND(W82=1000000),"φ",IF(AND(W82=0),"",W82)))))))))</f>
        <v/>
      </c>
      <c r="Y82" s="93"/>
      <c r="Z82" s="59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</row>
    <row r="83" spans="1:46" ht="21" customHeight="1" x14ac:dyDescent="0.2">
      <c r="A83" s="133" t="s">
        <v>71</v>
      </c>
      <c r="B83" s="134"/>
      <c r="C83" s="134"/>
      <c r="D83" s="134"/>
      <c r="E83" s="134"/>
      <c r="F83" s="134"/>
      <c r="G83" s="134"/>
      <c r="H83" s="134"/>
      <c r="I83" s="134"/>
      <c r="J83" s="134"/>
      <c r="K83" s="134"/>
      <c r="L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X83" s="134"/>
      <c r="Y83" s="134"/>
      <c r="Z83" s="13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</row>
    <row r="84" spans="1:46" ht="21" customHeight="1" x14ac:dyDescent="0.2">
      <c r="A84" s="27" t="s">
        <v>72</v>
      </c>
      <c r="B84" s="6">
        <v>5.5</v>
      </c>
      <c r="C84" s="37"/>
      <c r="D84" s="79" t="str">
        <f t="shared" si="6"/>
        <v/>
      </c>
      <c r="E84" s="83"/>
      <c r="F84" s="37"/>
      <c r="G84" s="6">
        <v>9.9</v>
      </c>
      <c r="H84" s="2"/>
      <c r="I84" s="74" t="str">
        <f t="shared" si="9"/>
        <v/>
      </c>
      <c r="J84" s="77"/>
      <c r="K84" s="2"/>
      <c r="L84" s="6">
        <v>13.8</v>
      </c>
      <c r="M84" s="41"/>
      <c r="N84" s="84" t="str">
        <f t="shared" si="8"/>
        <v/>
      </c>
      <c r="O84" s="90"/>
      <c r="P84" s="41"/>
      <c r="Q84" s="6" t="s">
        <v>177</v>
      </c>
      <c r="R84" s="23" t="s">
        <v>177</v>
      </c>
      <c r="S84" s="23" t="s">
        <v>177</v>
      </c>
      <c r="T84" s="23" t="s">
        <v>177</v>
      </c>
      <c r="U84" s="23" t="s">
        <v>177</v>
      </c>
      <c r="V84" s="6" t="s">
        <v>177</v>
      </c>
      <c r="W84" s="23" t="s">
        <v>177</v>
      </c>
      <c r="X84" s="23" t="s">
        <v>177</v>
      </c>
      <c r="Y84" s="23" t="s">
        <v>177</v>
      </c>
      <c r="Z84" s="23" t="s">
        <v>177</v>
      </c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</row>
    <row r="85" spans="1:46" ht="21" customHeight="1" x14ac:dyDescent="0.2">
      <c r="A85" s="27" t="s">
        <v>73</v>
      </c>
      <c r="B85" s="6">
        <v>5.9</v>
      </c>
      <c r="C85" s="37"/>
      <c r="D85" s="79" t="str">
        <f t="shared" si="6"/>
        <v/>
      </c>
      <c r="E85" s="83"/>
      <c r="F85" s="37"/>
      <c r="G85" s="6">
        <v>11.8</v>
      </c>
      <c r="H85" s="2"/>
      <c r="I85" s="74" t="str">
        <f t="shared" si="9"/>
        <v/>
      </c>
      <c r="J85" s="77"/>
      <c r="K85" s="2"/>
      <c r="L85" s="6">
        <v>14.3</v>
      </c>
      <c r="M85" s="41"/>
      <c r="N85" s="84" t="str">
        <f t="shared" si="8"/>
        <v/>
      </c>
      <c r="O85" s="90"/>
      <c r="P85" s="41"/>
      <c r="Q85" s="6" t="s">
        <v>177</v>
      </c>
      <c r="R85" s="23" t="s">
        <v>177</v>
      </c>
      <c r="S85" s="23" t="s">
        <v>177</v>
      </c>
      <c r="T85" s="23" t="s">
        <v>177</v>
      </c>
      <c r="U85" s="23" t="s">
        <v>177</v>
      </c>
      <c r="V85" s="6" t="s">
        <v>177</v>
      </c>
      <c r="W85" s="23" t="s">
        <v>177</v>
      </c>
      <c r="X85" s="23" t="s">
        <v>177</v>
      </c>
      <c r="Y85" s="23" t="s">
        <v>177</v>
      </c>
      <c r="Z85" s="23" t="s">
        <v>177</v>
      </c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</row>
    <row r="86" spans="1:46" ht="21" customHeight="1" x14ac:dyDescent="0.2">
      <c r="A86" s="27" t="s">
        <v>74</v>
      </c>
      <c r="B86" s="6">
        <v>7.2</v>
      </c>
      <c r="C86" s="37"/>
      <c r="D86" s="79" t="str">
        <f t="shared" si="6"/>
        <v/>
      </c>
      <c r="E86" s="83"/>
      <c r="F86" s="37"/>
      <c r="G86" s="6">
        <v>12.3</v>
      </c>
      <c r="H86" s="2"/>
      <c r="I86" s="74" t="str">
        <f t="shared" si="9"/>
        <v/>
      </c>
      <c r="J86" s="77"/>
      <c r="K86" s="2"/>
      <c r="L86" s="6">
        <v>15.7</v>
      </c>
      <c r="M86" s="41"/>
      <c r="N86" s="84" t="str">
        <f t="shared" si="8"/>
        <v/>
      </c>
      <c r="O86" s="90"/>
      <c r="P86" s="41"/>
      <c r="Q86" s="6" t="s">
        <v>177</v>
      </c>
      <c r="R86" s="23" t="s">
        <v>177</v>
      </c>
      <c r="S86" s="23" t="s">
        <v>177</v>
      </c>
      <c r="T86" s="23" t="s">
        <v>177</v>
      </c>
      <c r="U86" s="23" t="s">
        <v>177</v>
      </c>
      <c r="V86" s="6">
        <v>15.9</v>
      </c>
      <c r="W86" s="59"/>
      <c r="X86" s="91" t="str">
        <f>IF(W86="","",IF(AND(W86&gt;=960000,W86&lt;=999999),"V",IF(AND(W86&gt;=920000,W86&lt;=959999),"S",IF(AND(W86&gt;=880000,W86&lt;=919999),"A",IF(AND(W86&gt;=820000,W86&lt;=879999),"B",IF(AND(W86&gt;=700000,W86&lt;=819999),"C",IF(AND(W86&gt;=1,W86&lt;=699999),"F",IF(AND(W86=1000000),"φ",IF(AND(W86=0),"",W86)))))))))</f>
        <v/>
      </c>
      <c r="Y86" s="93"/>
      <c r="Z86" s="59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</row>
    <row r="87" spans="1:46" ht="21" customHeight="1" x14ac:dyDescent="0.2">
      <c r="A87" s="133" t="s">
        <v>87</v>
      </c>
      <c r="B87" s="134"/>
      <c r="C87" s="134"/>
      <c r="D87" s="134"/>
      <c r="E87" s="134"/>
      <c r="F87" s="134"/>
      <c r="G87" s="134"/>
      <c r="H87" s="134"/>
      <c r="I87" s="134"/>
      <c r="J87" s="134"/>
      <c r="K87" s="134"/>
      <c r="L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X87" s="134"/>
      <c r="Y87" s="134"/>
      <c r="Z87" s="13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</row>
    <row r="88" spans="1:46" ht="16.5" customHeight="1" x14ac:dyDescent="0.2">
      <c r="A88" s="44" t="s">
        <v>89</v>
      </c>
      <c r="B88" s="40">
        <v>2.7</v>
      </c>
      <c r="C88" s="36"/>
      <c r="D88" s="79" t="str">
        <f t="shared" si="6"/>
        <v/>
      </c>
      <c r="E88" s="81"/>
      <c r="F88" s="36"/>
      <c r="G88" s="5">
        <v>9.1</v>
      </c>
      <c r="H88" s="3"/>
      <c r="I88" s="74" t="str">
        <f t="shared" si="9"/>
        <v/>
      </c>
      <c r="J88" s="78"/>
      <c r="K88" s="3"/>
      <c r="L88" s="5">
        <v>13.6</v>
      </c>
      <c r="M88" s="15"/>
      <c r="N88" s="84" t="str">
        <f t="shared" si="8"/>
        <v/>
      </c>
      <c r="O88" s="89"/>
      <c r="P88" s="15"/>
      <c r="Q88" s="5" t="s">
        <v>177</v>
      </c>
      <c r="R88" s="22" t="s">
        <v>177</v>
      </c>
      <c r="S88" s="22" t="s">
        <v>177</v>
      </c>
      <c r="T88" s="22" t="s">
        <v>177</v>
      </c>
      <c r="U88" s="22" t="s">
        <v>177</v>
      </c>
      <c r="V88" s="5" t="s">
        <v>177</v>
      </c>
      <c r="W88" s="22" t="s">
        <v>177</v>
      </c>
      <c r="X88" s="22" t="s">
        <v>177</v>
      </c>
      <c r="Y88" s="22" t="s">
        <v>177</v>
      </c>
      <c r="Z88" s="22" t="s">
        <v>177</v>
      </c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</row>
    <row r="89" spans="1:46" ht="21" customHeight="1" x14ac:dyDescent="0.2">
      <c r="A89" s="35" t="s">
        <v>88</v>
      </c>
      <c r="B89" s="5">
        <v>3.6</v>
      </c>
      <c r="C89" s="36"/>
      <c r="D89" s="79" t="str">
        <f t="shared" si="6"/>
        <v/>
      </c>
      <c r="E89" s="81"/>
      <c r="F89" s="36"/>
      <c r="G89" s="5">
        <v>10.9</v>
      </c>
      <c r="H89" s="3"/>
      <c r="I89" s="74" t="str">
        <f t="shared" si="9"/>
        <v/>
      </c>
      <c r="J89" s="78"/>
      <c r="K89" s="3"/>
      <c r="L89" s="5">
        <v>14.7</v>
      </c>
      <c r="M89" s="15"/>
      <c r="N89" s="84" t="str">
        <f t="shared" si="8"/>
        <v/>
      </c>
      <c r="O89" s="89"/>
      <c r="P89" s="15"/>
      <c r="Q89" s="5" t="s">
        <v>177</v>
      </c>
      <c r="R89" s="22" t="s">
        <v>177</v>
      </c>
      <c r="S89" s="22" t="s">
        <v>177</v>
      </c>
      <c r="T89" s="22" t="s">
        <v>177</v>
      </c>
      <c r="U89" s="22" t="s">
        <v>177</v>
      </c>
      <c r="V89" s="5" t="s">
        <v>177</v>
      </c>
      <c r="W89" s="22" t="s">
        <v>177</v>
      </c>
      <c r="X89" s="22" t="s">
        <v>177</v>
      </c>
      <c r="Y89" s="22" t="s">
        <v>177</v>
      </c>
      <c r="Z89" s="22" t="s">
        <v>177</v>
      </c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</row>
    <row r="90" spans="1:46" ht="21" customHeight="1" x14ac:dyDescent="0.2">
      <c r="A90" s="35" t="s">
        <v>51</v>
      </c>
      <c r="B90" s="5">
        <v>4.8</v>
      </c>
      <c r="C90" s="36"/>
      <c r="D90" s="79" t="str">
        <f t="shared" si="6"/>
        <v/>
      </c>
      <c r="E90" s="81"/>
      <c r="F90" s="36"/>
      <c r="G90" s="5">
        <v>9.1999999999999993</v>
      </c>
      <c r="H90" s="3"/>
      <c r="I90" s="74" t="str">
        <f t="shared" si="9"/>
        <v/>
      </c>
      <c r="J90" s="78"/>
      <c r="K90" s="3"/>
      <c r="L90" s="5">
        <v>15.5</v>
      </c>
      <c r="M90" s="15"/>
      <c r="N90" s="84" t="str">
        <f t="shared" si="8"/>
        <v/>
      </c>
      <c r="O90" s="89"/>
      <c r="P90" s="15"/>
      <c r="Q90" s="5" t="s">
        <v>177</v>
      </c>
      <c r="R90" s="22" t="s">
        <v>177</v>
      </c>
      <c r="S90" s="22" t="s">
        <v>177</v>
      </c>
      <c r="T90" s="22" t="s">
        <v>177</v>
      </c>
      <c r="U90" s="22" t="s">
        <v>177</v>
      </c>
      <c r="V90" s="5" t="s">
        <v>177</v>
      </c>
      <c r="W90" s="22" t="s">
        <v>177</v>
      </c>
      <c r="X90" s="22" t="s">
        <v>177</v>
      </c>
      <c r="Y90" s="22" t="s">
        <v>177</v>
      </c>
      <c r="Z90" s="22" t="s">
        <v>177</v>
      </c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</row>
    <row r="91" spans="1:46" ht="21" customHeight="1" x14ac:dyDescent="0.2">
      <c r="A91" s="35" t="s">
        <v>90</v>
      </c>
      <c r="B91" s="5">
        <v>4.4000000000000004</v>
      </c>
      <c r="C91" s="36"/>
      <c r="D91" s="79" t="str">
        <f t="shared" si="6"/>
        <v/>
      </c>
      <c r="E91" s="81"/>
      <c r="F91" s="36"/>
      <c r="G91" s="5">
        <v>11.7</v>
      </c>
      <c r="H91" s="3"/>
      <c r="I91" s="74" t="str">
        <f t="shared" si="9"/>
        <v/>
      </c>
      <c r="J91" s="78"/>
      <c r="K91" s="3"/>
      <c r="L91" s="5">
        <v>15.6</v>
      </c>
      <c r="M91" s="15"/>
      <c r="N91" s="84" t="str">
        <f t="shared" si="8"/>
        <v/>
      </c>
      <c r="O91" s="89"/>
      <c r="P91" s="15"/>
      <c r="Q91" s="5" t="s">
        <v>177</v>
      </c>
      <c r="R91" s="22" t="s">
        <v>177</v>
      </c>
      <c r="S91" s="22" t="s">
        <v>177</v>
      </c>
      <c r="T91" s="22" t="s">
        <v>177</v>
      </c>
      <c r="U91" s="22" t="s">
        <v>177</v>
      </c>
      <c r="V91" s="5" t="s">
        <v>177</v>
      </c>
      <c r="W91" s="22" t="s">
        <v>177</v>
      </c>
      <c r="X91" s="22" t="s">
        <v>177</v>
      </c>
      <c r="Y91" s="22" t="s">
        <v>177</v>
      </c>
      <c r="Z91" s="22" t="s">
        <v>177</v>
      </c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</row>
    <row r="92" spans="1:46" ht="21" customHeight="1" x14ac:dyDescent="0.2">
      <c r="A92" s="35" t="s">
        <v>91</v>
      </c>
      <c r="B92" s="5">
        <v>6.1</v>
      </c>
      <c r="C92" s="36"/>
      <c r="D92" s="79" t="str">
        <f t="shared" si="6"/>
        <v/>
      </c>
      <c r="E92" s="81"/>
      <c r="F92" s="36"/>
      <c r="G92" s="5">
        <v>10.6</v>
      </c>
      <c r="H92" s="3"/>
      <c r="I92" s="74" t="str">
        <f t="shared" si="9"/>
        <v/>
      </c>
      <c r="J92" s="78"/>
      <c r="K92" s="3"/>
      <c r="L92" s="5">
        <v>15.8</v>
      </c>
      <c r="M92" s="15"/>
      <c r="N92" s="84" t="str">
        <f t="shared" si="8"/>
        <v/>
      </c>
      <c r="O92" s="89"/>
      <c r="P92" s="15"/>
      <c r="Q92" s="5" t="s">
        <v>177</v>
      </c>
      <c r="R92" s="22" t="s">
        <v>177</v>
      </c>
      <c r="S92" s="22" t="s">
        <v>177</v>
      </c>
      <c r="T92" s="22" t="s">
        <v>177</v>
      </c>
      <c r="U92" s="22" t="s">
        <v>177</v>
      </c>
      <c r="V92" s="5" t="s">
        <v>177</v>
      </c>
      <c r="W92" s="22" t="s">
        <v>177</v>
      </c>
      <c r="X92" s="22" t="s">
        <v>177</v>
      </c>
      <c r="Y92" s="22" t="s">
        <v>177</v>
      </c>
      <c r="Z92" s="22" t="s">
        <v>177</v>
      </c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</row>
    <row r="93" spans="1:46" ht="21" customHeight="1" x14ac:dyDescent="0.2">
      <c r="A93" s="133" t="s">
        <v>280</v>
      </c>
      <c r="B93" s="134"/>
      <c r="C93" s="134"/>
      <c r="D93" s="134"/>
      <c r="E93" s="134"/>
      <c r="F93" s="134"/>
      <c r="G93" s="134"/>
      <c r="H93" s="134"/>
      <c r="I93" s="134"/>
      <c r="J93" s="134"/>
      <c r="K93" s="134"/>
      <c r="L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X93" s="134"/>
      <c r="Y93" s="134"/>
      <c r="Z93" s="13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</row>
    <row r="94" spans="1:46" ht="21" customHeight="1" x14ac:dyDescent="0.2">
      <c r="A94" s="27" t="s">
        <v>281</v>
      </c>
      <c r="B94" s="5">
        <v>3.8</v>
      </c>
      <c r="C94" s="36"/>
      <c r="D94" s="79"/>
      <c r="E94" s="81"/>
      <c r="F94" s="36"/>
      <c r="G94" s="5">
        <v>8.6</v>
      </c>
      <c r="H94" s="3"/>
      <c r="I94" s="74"/>
      <c r="J94" s="78"/>
      <c r="K94" s="3"/>
      <c r="L94" s="5">
        <v>13.5</v>
      </c>
      <c r="M94" s="15"/>
      <c r="N94" s="84"/>
      <c r="O94" s="89"/>
      <c r="P94" s="15"/>
      <c r="Q94" s="5" t="s">
        <v>177</v>
      </c>
      <c r="R94" s="22" t="s">
        <v>177</v>
      </c>
      <c r="S94" s="22" t="s">
        <v>177</v>
      </c>
      <c r="T94" s="22" t="s">
        <v>177</v>
      </c>
      <c r="U94" s="22" t="s">
        <v>177</v>
      </c>
      <c r="V94" s="5" t="s">
        <v>177</v>
      </c>
      <c r="W94" s="22" t="s">
        <v>177</v>
      </c>
      <c r="X94" s="22" t="s">
        <v>177</v>
      </c>
      <c r="Y94" s="22" t="s">
        <v>177</v>
      </c>
      <c r="Z94" s="22" t="s">
        <v>177</v>
      </c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</row>
    <row r="95" spans="1:46" ht="21" customHeight="1" x14ac:dyDescent="0.2">
      <c r="A95" s="27" t="s">
        <v>282</v>
      </c>
      <c r="B95" s="5">
        <v>3.6</v>
      </c>
      <c r="C95" s="36"/>
      <c r="D95" s="79"/>
      <c r="E95" s="81"/>
      <c r="F95" s="36"/>
      <c r="G95" s="5">
        <v>10.6</v>
      </c>
      <c r="H95" s="3"/>
      <c r="I95" s="74"/>
      <c r="J95" s="78"/>
      <c r="K95" s="3"/>
      <c r="L95" s="5">
        <v>15.2</v>
      </c>
      <c r="M95" s="15"/>
      <c r="N95" s="84"/>
      <c r="O95" s="89"/>
      <c r="P95" s="15"/>
      <c r="Q95" s="5" t="s">
        <v>177</v>
      </c>
      <c r="R95" s="22" t="s">
        <v>177</v>
      </c>
      <c r="S95" s="22" t="s">
        <v>177</v>
      </c>
      <c r="T95" s="22" t="s">
        <v>177</v>
      </c>
      <c r="U95" s="22" t="s">
        <v>177</v>
      </c>
      <c r="V95" s="5" t="s">
        <v>177</v>
      </c>
      <c r="W95" s="22" t="s">
        <v>177</v>
      </c>
      <c r="X95" s="22" t="s">
        <v>177</v>
      </c>
      <c r="Y95" s="22" t="s">
        <v>177</v>
      </c>
      <c r="Z95" s="22" t="s">
        <v>177</v>
      </c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</row>
    <row r="96" spans="1:46" ht="21" customHeight="1" x14ac:dyDescent="0.2">
      <c r="A96" s="27" t="s">
        <v>283</v>
      </c>
      <c r="B96" s="5">
        <v>6.5</v>
      </c>
      <c r="C96" s="36"/>
      <c r="D96" s="79"/>
      <c r="E96" s="81"/>
      <c r="F96" s="36"/>
      <c r="G96" s="5">
        <v>12.2</v>
      </c>
      <c r="H96" s="3"/>
      <c r="I96" s="74"/>
      <c r="J96" s="78"/>
      <c r="K96" s="3"/>
      <c r="L96" s="5">
        <v>15.4</v>
      </c>
      <c r="M96" s="15"/>
      <c r="N96" s="84"/>
      <c r="O96" s="89"/>
      <c r="P96" s="15"/>
      <c r="Q96" s="5" t="s">
        <v>177</v>
      </c>
      <c r="R96" s="22" t="s">
        <v>177</v>
      </c>
      <c r="S96" s="22" t="s">
        <v>177</v>
      </c>
      <c r="T96" s="22" t="s">
        <v>177</v>
      </c>
      <c r="U96" s="22" t="s">
        <v>177</v>
      </c>
      <c r="V96" s="5" t="s">
        <v>177</v>
      </c>
      <c r="W96" s="22" t="s">
        <v>177</v>
      </c>
      <c r="X96" s="22" t="s">
        <v>177</v>
      </c>
      <c r="Y96" s="22" t="s">
        <v>177</v>
      </c>
      <c r="Z96" s="22" t="s">
        <v>177</v>
      </c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</row>
    <row r="97" spans="1:46" ht="21" customHeight="1" x14ac:dyDescent="0.2">
      <c r="A97" s="10" t="s">
        <v>284</v>
      </c>
      <c r="B97" s="5">
        <v>5.8</v>
      </c>
      <c r="C97" s="36"/>
      <c r="D97" s="79"/>
      <c r="E97" s="81"/>
      <c r="F97" s="36"/>
      <c r="G97" s="5">
        <v>11.7</v>
      </c>
      <c r="H97" s="3"/>
      <c r="I97" s="74"/>
      <c r="J97" s="78"/>
      <c r="K97" s="3"/>
      <c r="L97" s="5">
        <v>14.6</v>
      </c>
      <c r="M97" s="15"/>
      <c r="N97" s="84"/>
      <c r="O97" s="89"/>
      <c r="P97" s="15"/>
      <c r="Q97" s="5" t="s">
        <v>177</v>
      </c>
      <c r="R97" s="22" t="s">
        <v>177</v>
      </c>
      <c r="S97" s="22" t="s">
        <v>177</v>
      </c>
      <c r="T97" s="22" t="s">
        <v>177</v>
      </c>
      <c r="U97" s="22" t="s">
        <v>177</v>
      </c>
      <c r="V97" s="5">
        <v>15.8</v>
      </c>
      <c r="W97" s="58"/>
      <c r="X97" s="91"/>
      <c r="Y97" s="92"/>
      <c r="Z97" s="58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</row>
    <row r="98" spans="1:46" ht="21" customHeight="1" x14ac:dyDescent="0.2">
      <c r="A98" s="27" t="s">
        <v>285</v>
      </c>
      <c r="B98" s="5">
        <v>5.2</v>
      </c>
      <c r="C98" s="36"/>
      <c r="D98" s="79"/>
      <c r="E98" s="81"/>
      <c r="F98" s="36"/>
      <c r="G98" s="5">
        <v>11.1</v>
      </c>
      <c r="H98" s="3"/>
      <c r="I98" s="74"/>
      <c r="J98" s="78"/>
      <c r="K98" s="3"/>
      <c r="L98" s="5">
        <v>15.5</v>
      </c>
      <c r="M98" s="15"/>
      <c r="N98" s="84"/>
      <c r="O98" s="89"/>
      <c r="P98" s="15"/>
      <c r="Q98" s="5" t="s">
        <v>177</v>
      </c>
      <c r="R98" s="22" t="s">
        <v>177</v>
      </c>
      <c r="S98" s="22" t="s">
        <v>177</v>
      </c>
      <c r="T98" s="22" t="s">
        <v>177</v>
      </c>
      <c r="U98" s="22" t="s">
        <v>177</v>
      </c>
      <c r="V98" s="5">
        <v>16.399999999999999</v>
      </c>
      <c r="W98" s="58"/>
      <c r="X98" s="91"/>
      <c r="Y98" s="92"/>
      <c r="Z98" s="58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</row>
    <row r="99" spans="1:46" ht="21" customHeight="1" x14ac:dyDescent="0.2">
      <c r="A99" s="133" t="s">
        <v>75</v>
      </c>
      <c r="B99" s="134"/>
      <c r="C99" s="134"/>
      <c r="D99" s="134"/>
      <c r="E99" s="134"/>
      <c r="F99" s="134"/>
      <c r="G99" s="134"/>
      <c r="H99" s="134"/>
      <c r="I99" s="134"/>
      <c r="J99" s="134"/>
      <c r="K99" s="134"/>
      <c r="L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X99" s="134"/>
      <c r="Y99" s="134"/>
      <c r="Z99" s="13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</row>
    <row r="100" spans="1:46" ht="21" customHeight="1" x14ac:dyDescent="0.2">
      <c r="A100" s="35" t="s">
        <v>135</v>
      </c>
      <c r="B100" s="5">
        <v>4.8</v>
      </c>
      <c r="C100" s="36"/>
      <c r="D100" s="79" t="str">
        <f t="shared" ref="D100:D109" si="10">IF(C100="","",IF(AND(C100&gt;=960000,C100&lt;=999999),"V",IF(AND(C100&gt;=920000,C100&lt;=959999),"S",IF(AND(C100&gt;=880000,C100&lt;=919999),"A",IF(AND(C100&gt;=820000,C100&lt;=879999),"B",IF(AND(C100&gt;=700000,C100&lt;=819999),"C",IF(AND(C100&gt;=1,C100&lt;=699999),"F",IF(AND(C100=1000000),"φ",IF(AND(C100=0),"",C100)))))))))</f>
        <v/>
      </c>
      <c r="E100" s="81"/>
      <c r="F100" s="36"/>
      <c r="G100" s="5">
        <v>9.4</v>
      </c>
      <c r="H100" s="3"/>
      <c r="I100" s="74" t="str">
        <f t="shared" ref="I100:I109" si="11">IF(H100="","",IF(AND(H100&gt;=960000,H100&lt;=999999),"V",IF(AND(H100&gt;=920000,H100&lt;=959999),"S",IF(AND(H100&gt;=880000,H100&lt;=919999),"A",IF(AND(H100&gt;=820000,H100&lt;=879999),"B",IF(AND(H100&gt;=700000,H100&lt;=819999),"C",IF(AND(H100&gt;=1,H100&lt;=699999),"F",IF(AND(H100=1000000),"φ",IF(AND(H100=0),"",H100)))))))))</f>
        <v/>
      </c>
      <c r="J100" s="78"/>
      <c r="K100" s="3"/>
      <c r="L100" s="5">
        <v>14.8</v>
      </c>
      <c r="M100" s="15"/>
      <c r="N100" s="84" t="str">
        <f t="shared" ref="N100:N109" si="12">IF(M100="","",IF(AND(M100&gt;=960000,M100&lt;=999999),"V",IF(AND(M100&gt;=920000,M100&lt;=959999),"S",IF(AND(M100&gt;=880000,M100&lt;=919999),"A",IF(AND(M100&gt;=820000,M100&lt;=879999),"B",IF(AND(M100&gt;=700000,M100&lt;=819999),"C",IF(AND(M100&gt;=1,M100&lt;=699999),"F",IF(AND(M100=1000000),"φ",IF(AND(M100=0),"",M100)))))))))</f>
        <v/>
      </c>
      <c r="O100" s="89"/>
      <c r="P100" s="15"/>
      <c r="Q100" s="5">
        <v>13.3</v>
      </c>
      <c r="R100" s="43"/>
      <c r="S100" s="86" t="str">
        <f>IF(R100="","",IF(AND(R100&gt;=960000,R100&lt;=999999),"V",IF(AND(R100&gt;=920000,R100&lt;=959999),"S",IF(AND(R100&gt;=880000,R100&lt;=919999),"A",IF(AND(R100&gt;=820000,R100&lt;=879999),"B",IF(AND(R100&gt;=700000,R100&lt;=819999),"C",IF(AND(R100&gt;=1,R100&lt;=699999),"F",IF(AND(R100=1000000),"φ",IF(AND(R100=0),"",R100)))))))))</f>
        <v/>
      </c>
      <c r="T100" s="88"/>
      <c r="U100" s="43"/>
      <c r="V100" s="5" t="s">
        <v>177</v>
      </c>
      <c r="W100" s="22" t="s">
        <v>177</v>
      </c>
      <c r="X100" s="22" t="s">
        <v>177</v>
      </c>
      <c r="Y100" s="22" t="s">
        <v>177</v>
      </c>
      <c r="Z100" s="22" t="s">
        <v>177</v>
      </c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</row>
    <row r="101" spans="1:46" ht="21" customHeight="1" x14ac:dyDescent="0.2">
      <c r="A101" s="35" t="s">
        <v>93</v>
      </c>
      <c r="B101" s="5">
        <v>3.4</v>
      </c>
      <c r="C101" s="36"/>
      <c r="D101" s="79" t="str">
        <f t="shared" si="10"/>
        <v/>
      </c>
      <c r="E101" s="81"/>
      <c r="F101" s="36"/>
      <c r="G101" s="5">
        <v>8.5</v>
      </c>
      <c r="H101" s="3"/>
      <c r="I101" s="74" t="str">
        <f t="shared" si="11"/>
        <v/>
      </c>
      <c r="J101" s="78"/>
      <c r="K101" s="3"/>
      <c r="L101" s="5">
        <v>11.1</v>
      </c>
      <c r="M101" s="15"/>
      <c r="N101" s="84" t="str">
        <f t="shared" si="12"/>
        <v/>
      </c>
      <c r="O101" s="89"/>
      <c r="P101" s="15"/>
      <c r="Q101" s="5" t="s">
        <v>177</v>
      </c>
      <c r="R101" s="22" t="s">
        <v>177</v>
      </c>
      <c r="S101" s="22" t="s">
        <v>177</v>
      </c>
      <c r="T101" s="22" t="s">
        <v>177</v>
      </c>
      <c r="U101" s="22" t="s">
        <v>177</v>
      </c>
      <c r="V101" s="5">
        <v>14.9</v>
      </c>
      <c r="W101" s="58"/>
      <c r="X101" s="91" t="str">
        <f>IF(W101="","",IF(AND(W101&gt;=960000,W101&lt;=999999),"V",IF(AND(W101&gt;=920000,W101&lt;=959999),"S",IF(AND(W101&gt;=880000,W101&lt;=919999),"A",IF(AND(W101&gt;=820000,W101&lt;=879999),"B",IF(AND(W101&gt;=700000,W101&lt;=819999),"C",IF(AND(W101&gt;=1,W101&lt;=699999),"F",IF(AND(W101=1000000),"φ",IF(AND(W101=0),"",W101)))))))))</f>
        <v/>
      </c>
      <c r="Y101" s="92"/>
      <c r="Z101" s="58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</row>
    <row r="102" spans="1:46" ht="21" customHeight="1" x14ac:dyDescent="0.2">
      <c r="A102" s="35" t="s">
        <v>124</v>
      </c>
      <c r="B102" s="5">
        <v>1.9</v>
      </c>
      <c r="C102" s="36"/>
      <c r="D102" s="79" t="str">
        <f t="shared" si="10"/>
        <v/>
      </c>
      <c r="E102" s="81"/>
      <c r="F102" s="36"/>
      <c r="G102" s="5">
        <v>10.199999999999999</v>
      </c>
      <c r="H102" s="3"/>
      <c r="I102" s="74" t="str">
        <f t="shared" si="11"/>
        <v/>
      </c>
      <c r="J102" s="78"/>
      <c r="K102" s="3"/>
      <c r="L102" s="5">
        <v>14.2</v>
      </c>
      <c r="M102" s="15"/>
      <c r="N102" s="84" t="str">
        <f t="shared" si="12"/>
        <v/>
      </c>
      <c r="O102" s="89"/>
      <c r="P102" s="15"/>
      <c r="Q102" s="5">
        <v>14.5</v>
      </c>
      <c r="R102" s="43"/>
      <c r="S102" s="86" t="str">
        <f>IF(R102="","",IF(AND(R102&gt;=960000,R102&lt;=999999),"V",IF(AND(R102&gt;=920000,R102&lt;=959999),"S",IF(AND(R102&gt;=880000,R102&lt;=919999),"A",IF(AND(R102&gt;=820000,R102&lt;=879999),"B",IF(AND(R102&gt;=700000,R102&lt;=819999),"C",IF(AND(R102&gt;=1,R102&lt;=699999),"F",IF(AND(R102=1000000),"φ",IF(AND(R102=0),"",R102)))))))))</f>
        <v/>
      </c>
      <c r="T102" s="88"/>
      <c r="U102" s="43"/>
      <c r="V102" s="5" t="s">
        <v>177</v>
      </c>
      <c r="W102" s="22" t="s">
        <v>177</v>
      </c>
      <c r="X102" s="22" t="s">
        <v>177</v>
      </c>
      <c r="Y102" s="22" t="s">
        <v>177</v>
      </c>
      <c r="Z102" s="22" t="s">
        <v>177</v>
      </c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</row>
    <row r="103" spans="1:46" ht="21" customHeight="1" x14ac:dyDescent="0.2">
      <c r="A103" s="35" t="s">
        <v>154</v>
      </c>
      <c r="B103" s="5">
        <v>4.3</v>
      </c>
      <c r="C103" s="36"/>
      <c r="D103" s="79" t="str">
        <f t="shared" si="10"/>
        <v/>
      </c>
      <c r="E103" s="81"/>
      <c r="F103" s="36"/>
      <c r="G103" s="5">
        <v>10.6</v>
      </c>
      <c r="H103" s="3"/>
      <c r="I103" s="74" t="str">
        <f t="shared" si="11"/>
        <v/>
      </c>
      <c r="J103" s="78"/>
      <c r="K103" s="3"/>
      <c r="L103" s="5">
        <v>13.1</v>
      </c>
      <c r="M103" s="15"/>
      <c r="N103" s="84" t="str">
        <f t="shared" si="12"/>
        <v/>
      </c>
      <c r="O103" s="89"/>
      <c r="P103" s="15"/>
      <c r="Q103" s="5">
        <v>13.4</v>
      </c>
      <c r="R103" s="43"/>
      <c r="S103" s="86" t="str">
        <f>IF(R103="","",IF(AND(R103&gt;=960000,R103&lt;=999999),"V",IF(AND(R103&gt;=920000,R103&lt;=959999),"S",IF(AND(R103&gt;=880000,R103&lt;=919999),"A",IF(AND(R103&gt;=820000,R103&lt;=879999),"B",IF(AND(R103&gt;=700000,R103&lt;=819999),"C",IF(AND(R103&gt;=1,R103&lt;=699999),"F",IF(AND(R103=1000000),"φ",IF(AND(R103=0),"",R103)))))))))</f>
        <v/>
      </c>
      <c r="T103" s="88"/>
      <c r="U103" s="43"/>
      <c r="V103" s="5" t="s">
        <v>177</v>
      </c>
      <c r="W103" s="22" t="s">
        <v>177</v>
      </c>
      <c r="X103" s="22" t="s">
        <v>177</v>
      </c>
      <c r="Y103" s="22" t="s">
        <v>177</v>
      </c>
      <c r="Z103" s="22" t="s">
        <v>177</v>
      </c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</row>
    <row r="104" spans="1:46" ht="21" customHeight="1" x14ac:dyDescent="0.2">
      <c r="A104" s="35" t="s">
        <v>108</v>
      </c>
      <c r="B104" s="5">
        <v>5.7</v>
      </c>
      <c r="C104" s="36"/>
      <c r="D104" s="79" t="str">
        <f t="shared" si="10"/>
        <v/>
      </c>
      <c r="E104" s="81"/>
      <c r="F104" s="36"/>
      <c r="G104" s="5">
        <v>9.6999999999999993</v>
      </c>
      <c r="H104" s="3"/>
      <c r="I104" s="74" t="str">
        <f t="shared" si="11"/>
        <v/>
      </c>
      <c r="J104" s="78"/>
      <c r="K104" s="3"/>
      <c r="L104" s="5">
        <v>13.3</v>
      </c>
      <c r="M104" s="15"/>
      <c r="N104" s="84" t="str">
        <f t="shared" si="12"/>
        <v/>
      </c>
      <c r="O104" s="89"/>
      <c r="P104" s="15"/>
      <c r="Q104" s="5">
        <v>13.6</v>
      </c>
      <c r="R104" s="43"/>
      <c r="S104" s="86" t="str">
        <f>IF(R104="","",IF(AND(R104&gt;=960000,R104&lt;=999999),"V",IF(AND(R104&gt;=920000,R104&lt;=959999),"S",IF(AND(R104&gt;=880000,R104&lt;=919999),"A",IF(AND(R104&gt;=820000,R104&lt;=879999),"B",IF(AND(R104&gt;=700000,R104&lt;=819999),"C",IF(AND(R104&gt;=1,R104&lt;=699999),"F",IF(AND(R104=1000000),"φ",IF(AND(R104=0),"",R104)))))))))</f>
        <v/>
      </c>
      <c r="T104" s="88"/>
      <c r="U104" s="43"/>
      <c r="V104" s="5" t="s">
        <v>177</v>
      </c>
      <c r="W104" s="22" t="s">
        <v>177</v>
      </c>
      <c r="X104" s="22" t="s">
        <v>177</v>
      </c>
      <c r="Y104" s="22" t="s">
        <v>177</v>
      </c>
      <c r="Z104" s="22" t="s">
        <v>177</v>
      </c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</row>
    <row r="105" spans="1:46" ht="21" customHeight="1" x14ac:dyDescent="0.2">
      <c r="A105" s="35" t="s">
        <v>111</v>
      </c>
      <c r="B105" s="5">
        <v>5.9</v>
      </c>
      <c r="C105" s="36"/>
      <c r="D105" s="79" t="str">
        <f t="shared" si="10"/>
        <v/>
      </c>
      <c r="E105" s="81"/>
      <c r="F105" s="36"/>
      <c r="G105" s="5">
        <v>10.3</v>
      </c>
      <c r="H105" s="3"/>
      <c r="I105" s="74" t="str">
        <f t="shared" si="11"/>
        <v/>
      </c>
      <c r="J105" s="78"/>
      <c r="K105" s="3"/>
      <c r="L105" s="5">
        <v>13.7</v>
      </c>
      <c r="M105" s="15"/>
      <c r="N105" s="84" t="str">
        <f t="shared" si="12"/>
        <v/>
      </c>
      <c r="O105" s="89"/>
      <c r="P105" s="15"/>
      <c r="Q105" s="5" t="s">
        <v>177</v>
      </c>
      <c r="R105" s="22" t="s">
        <v>177</v>
      </c>
      <c r="S105" s="22" t="s">
        <v>177</v>
      </c>
      <c r="T105" s="22" t="s">
        <v>177</v>
      </c>
      <c r="U105" s="22" t="s">
        <v>177</v>
      </c>
      <c r="V105" s="5" t="s">
        <v>177</v>
      </c>
      <c r="W105" s="22" t="s">
        <v>177</v>
      </c>
      <c r="X105" s="22" t="s">
        <v>177</v>
      </c>
      <c r="Y105" s="22" t="s">
        <v>177</v>
      </c>
      <c r="Z105" s="22" t="s">
        <v>177</v>
      </c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</row>
    <row r="106" spans="1:46" ht="21" customHeight="1" x14ac:dyDescent="0.2">
      <c r="A106" s="27" t="s">
        <v>92</v>
      </c>
      <c r="B106" s="5">
        <v>1.3</v>
      </c>
      <c r="C106" s="36"/>
      <c r="D106" s="79" t="str">
        <f t="shared" si="10"/>
        <v/>
      </c>
      <c r="E106" s="81"/>
      <c r="F106" s="36"/>
      <c r="G106" s="5">
        <v>3.6</v>
      </c>
      <c r="H106" s="3"/>
      <c r="I106" s="74" t="str">
        <f t="shared" si="11"/>
        <v/>
      </c>
      <c r="J106" s="78"/>
      <c r="K106" s="3"/>
      <c r="L106" s="5">
        <v>6.2</v>
      </c>
      <c r="M106" s="15"/>
      <c r="N106" s="84" t="str">
        <f t="shared" si="12"/>
        <v/>
      </c>
      <c r="O106" s="89"/>
      <c r="P106" s="15"/>
      <c r="Q106" s="5" t="s">
        <v>177</v>
      </c>
      <c r="R106" s="22" t="s">
        <v>177</v>
      </c>
      <c r="S106" s="22" t="s">
        <v>177</v>
      </c>
      <c r="T106" s="22" t="s">
        <v>177</v>
      </c>
      <c r="U106" s="22" t="s">
        <v>177</v>
      </c>
      <c r="V106" s="5">
        <v>13.6</v>
      </c>
      <c r="W106" s="58"/>
      <c r="X106" s="91" t="str">
        <f>IF(W106="","",IF(AND(W106&gt;=960000,W106&lt;=999999),"V",IF(AND(W106&gt;=920000,W106&lt;=959999),"S",IF(AND(W106&gt;=880000,W106&lt;=919999),"A",IF(AND(W106&gt;=820000,W106&lt;=879999),"B",IF(AND(W106&gt;=700000,W106&lt;=819999),"C",IF(AND(W106&gt;=1,W106&lt;=699999),"F",IF(AND(W106=1000000),"φ",IF(AND(W106=0),"",W106)))))))))</f>
        <v/>
      </c>
      <c r="Y106" s="92"/>
      <c r="Z106" s="58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</row>
    <row r="107" spans="1:46" ht="21" customHeight="1" x14ac:dyDescent="0.2">
      <c r="A107" s="35" t="s">
        <v>96</v>
      </c>
      <c r="B107" s="5">
        <v>2.5</v>
      </c>
      <c r="C107" s="36"/>
      <c r="D107" s="79" t="str">
        <f t="shared" si="10"/>
        <v/>
      </c>
      <c r="E107" s="81"/>
      <c r="F107" s="36"/>
      <c r="G107" s="5">
        <v>5.7</v>
      </c>
      <c r="H107" s="3"/>
      <c r="I107" s="74" t="str">
        <f t="shared" si="11"/>
        <v/>
      </c>
      <c r="J107" s="78"/>
      <c r="K107" s="3"/>
      <c r="L107" s="5">
        <v>11.7</v>
      </c>
      <c r="M107" s="15"/>
      <c r="N107" s="84" t="str">
        <f t="shared" si="12"/>
        <v/>
      </c>
      <c r="O107" s="89"/>
      <c r="P107" s="15"/>
      <c r="Q107" s="5">
        <v>11.5</v>
      </c>
      <c r="R107" s="43"/>
      <c r="S107" s="86" t="str">
        <f>IF(R107="","",IF(AND(R107&gt;=960000,R107&lt;=999999),"V",IF(AND(R107&gt;=920000,R107&lt;=959999),"S",IF(AND(R107&gt;=880000,R107&lt;=919999),"A",IF(AND(R107&gt;=820000,R107&lt;=879999),"B",IF(AND(R107&gt;=700000,R107&lt;=819999),"C",IF(AND(R107&gt;=1,R107&lt;=699999),"F",IF(AND(R107=1000000),"φ",IF(AND(R107=0),"",R107)))))))))</f>
        <v/>
      </c>
      <c r="T107" s="88"/>
      <c r="U107" s="43"/>
      <c r="V107" s="5" t="s">
        <v>177</v>
      </c>
      <c r="W107" s="22" t="s">
        <v>177</v>
      </c>
      <c r="X107" s="22" t="s">
        <v>177</v>
      </c>
      <c r="Y107" s="22" t="s">
        <v>177</v>
      </c>
      <c r="Z107" s="22" t="s">
        <v>177</v>
      </c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</row>
    <row r="108" spans="1:46" ht="21" customHeight="1" x14ac:dyDescent="0.2">
      <c r="A108" s="35" t="s">
        <v>98</v>
      </c>
      <c r="B108" s="5">
        <v>2.8</v>
      </c>
      <c r="C108" s="36"/>
      <c r="D108" s="79" t="str">
        <f t="shared" si="10"/>
        <v/>
      </c>
      <c r="E108" s="81"/>
      <c r="F108" s="36"/>
      <c r="G108" s="5">
        <v>9.9</v>
      </c>
      <c r="H108" s="3"/>
      <c r="I108" s="74" t="str">
        <f t="shared" si="11"/>
        <v/>
      </c>
      <c r="J108" s="78"/>
      <c r="K108" s="3"/>
      <c r="L108" s="5">
        <v>12.6</v>
      </c>
      <c r="M108" s="15"/>
      <c r="N108" s="84" t="str">
        <f t="shared" si="12"/>
        <v/>
      </c>
      <c r="O108" s="89"/>
      <c r="P108" s="15"/>
      <c r="Q108" s="5">
        <v>12.8</v>
      </c>
      <c r="R108" s="43"/>
      <c r="S108" s="86" t="str">
        <f>IF(R108="","",IF(AND(R108&gt;=960000,R108&lt;=999999),"V",IF(AND(R108&gt;=920000,R108&lt;=959999),"S",IF(AND(R108&gt;=880000,R108&lt;=919999),"A",IF(AND(R108&gt;=820000,R108&lt;=879999),"B",IF(AND(R108&gt;=700000,R108&lt;=819999),"C",IF(AND(R108&gt;=1,R108&lt;=699999),"F",IF(AND(R108=1000000),"φ",IF(AND(R108=0),"",R108)))))))))</f>
        <v/>
      </c>
      <c r="T108" s="88"/>
      <c r="U108" s="43"/>
      <c r="V108" s="5" t="s">
        <v>177</v>
      </c>
      <c r="W108" s="22" t="s">
        <v>177</v>
      </c>
      <c r="X108" s="22" t="s">
        <v>177</v>
      </c>
      <c r="Y108" s="22" t="s">
        <v>177</v>
      </c>
      <c r="Z108" s="22" t="s">
        <v>177</v>
      </c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</row>
    <row r="109" spans="1:46" ht="21" customHeight="1" x14ac:dyDescent="0.2">
      <c r="A109" s="35" t="s">
        <v>122</v>
      </c>
      <c r="B109" s="5">
        <v>3.8</v>
      </c>
      <c r="C109" s="36"/>
      <c r="D109" s="79" t="str">
        <f t="shared" si="10"/>
        <v/>
      </c>
      <c r="E109" s="81"/>
      <c r="F109" s="36"/>
      <c r="G109" s="5">
        <v>9.6</v>
      </c>
      <c r="H109" s="3"/>
      <c r="I109" s="74" t="str">
        <f t="shared" si="11"/>
        <v/>
      </c>
      <c r="J109" s="78"/>
      <c r="K109" s="3"/>
      <c r="L109" s="5">
        <v>14.1</v>
      </c>
      <c r="M109" s="15"/>
      <c r="N109" s="84" t="str">
        <f t="shared" si="12"/>
        <v/>
      </c>
      <c r="O109" s="89"/>
      <c r="P109" s="15"/>
      <c r="Q109" s="5">
        <v>14.4</v>
      </c>
      <c r="R109" s="43"/>
      <c r="S109" s="86" t="str">
        <f>IF(R109="","",IF(AND(R109&gt;=960000,R109&lt;=999999),"V",IF(AND(R109&gt;=920000,R109&lt;=959999),"S",IF(AND(R109&gt;=880000,R109&lt;=919999),"A",IF(AND(R109&gt;=820000,R109&lt;=879999),"B",IF(AND(R109&gt;=700000,R109&lt;=819999),"C",IF(AND(R109&gt;=1,R109&lt;=699999),"F",IF(AND(R109=1000000),"φ",IF(AND(R109=0),"",R109)))))))))</f>
        <v/>
      </c>
      <c r="T109" s="88"/>
      <c r="U109" s="43"/>
      <c r="V109" s="5" t="s">
        <v>177</v>
      </c>
      <c r="W109" s="22" t="s">
        <v>177</v>
      </c>
      <c r="X109" s="22" t="s">
        <v>177</v>
      </c>
      <c r="Y109" s="22" t="s">
        <v>177</v>
      </c>
      <c r="Z109" s="22" t="s">
        <v>177</v>
      </c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</row>
    <row r="110" spans="1:46" ht="21" customHeight="1" x14ac:dyDescent="0.2">
      <c r="A110" s="35" t="s">
        <v>139</v>
      </c>
      <c r="B110" s="5">
        <v>7.8</v>
      </c>
      <c r="C110" s="36"/>
      <c r="D110" s="79" t="str">
        <f t="shared" ref="D110:D140" si="13">IF(C110="","",IF(AND(C110&gt;=960000,C110&lt;=999999),"V",IF(AND(C110&gt;=920000,C110&lt;=959999),"S",IF(AND(C110&gt;=880000,C110&lt;=919999),"A",IF(AND(C110&gt;=820000,C110&lt;=879999),"B",IF(AND(C110&gt;=700000,C110&lt;=819999),"C",IF(AND(C110&gt;=1,C110&lt;=699999),"F",IF(AND(C110=1000000),"φ",IF(AND(C110=0),"",C110)))))))))</f>
        <v/>
      </c>
      <c r="E110" s="81"/>
      <c r="F110" s="36"/>
      <c r="G110" s="5">
        <v>11.2</v>
      </c>
      <c r="H110" s="3"/>
      <c r="I110" s="74" t="str">
        <f t="shared" ref="I110:I140" si="14">IF(H110="","",IF(AND(H110&gt;=960000,H110&lt;=999999),"V",IF(AND(H110&gt;=920000,H110&lt;=959999),"S",IF(AND(H110&gt;=880000,H110&lt;=919999),"A",IF(AND(H110&gt;=820000,H110&lt;=879999),"B",IF(AND(H110&gt;=700000,H110&lt;=819999),"C",IF(AND(H110&gt;=1,H110&lt;=699999),"F",IF(AND(H110=1000000),"φ",IF(AND(H110=0),"",H110)))))))))</f>
        <v/>
      </c>
      <c r="J110" s="78"/>
      <c r="K110" s="3"/>
      <c r="L110" s="5">
        <v>15.2</v>
      </c>
      <c r="M110" s="15"/>
      <c r="N110" s="84" t="str">
        <f t="shared" ref="N110:N140" si="15">IF(M110="","",IF(AND(M110&gt;=960000,M110&lt;=999999),"V",IF(AND(M110&gt;=920000,M110&lt;=959999),"S",IF(AND(M110&gt;=880000,M110&lt;=919999),"A",IF(AND(M110&gt;=820000,M110&lt;=879999),"B",IF(AND(M110&gt;=700000,M110&lt;=819999),"C",IF(AND(M110&gt;=1,M110&lt;=699999),"F",IF(AND(M110=1000000),"φ",IF(AND(M110=0),"",M110)))))))))</f>
        <v/>
      </c>
      <c r="O110" s="89"/>
      <c r="P110" s="15"/>
      <c r="Q110" s="5">
        <v>15.7</v>
      </c>
      <c r="R110" s="43"/>
      <c r="S110" s="86" t="str">
        <f>IF(R110="","",IF(AND(R110&gt;=960000,R110&lt;=999999),"V",IF(AND(R110&gt;=920000,R110&lt;=959999),"S",IF(AND(R110&gt;=880000,R110&lt;=919999),"A",IF(AND(R110&gt;=820000,R110&lt;=879999),"B",IF(AND(R110&gt;=700000,R110&lt;=819999),"C",IF(AND(R110&gt;=1,R110&lt;=699999),"F",IF(AND(R110=1000000),"φ",IF(AND(R110=0),"",R110)))))))))</f>
        <v/>
      </c>
      <c r="T110" s="88"/>
      <c r="U110" s="43"/>
      <c r="V110" s="5" t="s">
        <v>177</v>
      </c>
      <c r="W110" s="22" t="s">
        <v>177</v>
      </c>
      <c r="X110" s="22" t="s">
        <v>177</v>
      </c>
      <c r="Y110" s="22" t="s">
        <v>177</v>
      </c>
      <c r="Z110" s="22" t="s">
        <v>177</v>
      </c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</row>
    <row r="111" spans="1:46" ht="21" customHeight="1" x14ac:dyDescent="0.2">
      <c r="A111" s="35" t="s">
        <v>100</v>
      </c>
      <c r="B111" s="5">
        <v>4.2</v>
      </c>
      <c r="C111" s="36"/>
      <c r="D111" s="79" t="str">
        <f t="shared" si="13"/>
        <v/>
      </c>
      <c r="E111" s="81"/>
      <c r="F111" s="36"/>
      <c r="G111" s="5">
        <v>8.8000000000000007</v>
      </c>
      <c r="H111" s="3"/>
      <c r="I111" s="74" t="str">
        <f t="shared" si="14"/>
        <v/>
      </c>
      <c r="J111" s="78"/>
      <c r="K111" s="3"/>
      <c r="L111" s="5">
        <v>13.1</v>
      </c>
      <c r="M111" s="15"/>
      <c r="N111" s="84" t="str">
        <f t="shared" si="15"/>
        <v/>
      </c>
      <c r="O111" s="89"/>
      <c r="P111" s="15"/>
      <c r="Q111" s="5" t="s">
        <v>177</v>
      </c>
      <c r="R111" s="22" t="s">
        <v>177</v>
      </c>
      <c r="S111" s="22" t="s">
        <v>177</v>
      </c>
      <c r="T111" s="22" t="s">
        <v>177</v>
      </c>
      <c r="U111" s="22" t="s">
        <v>177</v>
      </c>
      <c r="V111" s="5" t="s">
        <v>177</v>
      </c>
      <c r="W111" s="22" t="s">
        <v>177</v>
      </c>
      <c r="X111" s="22" t="s">
        <v>177</v>
      </c>
      <c r="Y111" s="22" t="s">
        <v>177</v>
      </c>
      <c r="Z111" s="22" t="s">
        <v>177</v>
      </c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</row>
    <row r="112" spans="1:46" ht="21" customHeight="1" x14ac:dyDescent="0.2">
      <c r="A112" s="35" t="s">
        <v>110</v>
      </c>
      <c r="B112" s="5">
        <v>3.7</v>
      </c>
      <c r="C112" s="36"/>
      <c r="D112" s="79" t="str">
        <f t="shared" si="13"/>
        <v/>
      </c>
      <c r="E112" s="81"/>
      <c r="F112" s="36"/>
      <c r="G112" s="5">
        <v>9.8000000000000007</v>
      </c>
      <c r="H112" s="3"/>
      <c r="I112" s="74" t="str">
        <f t="shared" si="14"/>
        <v/>
      </c>
      <c r="J112" s="78"/>
      <c r="K112" s="3"/>
      <c r="L112" s="5">
        <v>14.4</v>
      </c>
      <c r="M112" s="15"/>
      <c r="N112" s="84" t="str">
        <f t="shared" si="15"/>
        <v/>
      </c>
      <c r="O112" s="89"/>
      <c r="P112" s="15"/>
      <c r="Q112" s="5">
        <v>13.7</v>
      </c>
      <c r="R112" s="43"/>
      <c r="S112" s="86" t="str">
        <f>IF(R112="","",IF(AND(R112&gt;=960000,R112&lt;=999999),"V",IF(AND(R112&gt;=920000,R112&lt;=959999),"S",IF(AND(R112&gt;=880000,R112&lt;=919999),"A",IF(AND(R112&gt;=820000,R112&lt;=879999),"B",IF(AND(R112&gt;=700000,R112&lt;=819999),"C",IF(AND(R112&gt;=1,R112&lt;=699999),"F",IF(AND(R112=1000000),"φ",IF(AND(R112=0),"",R112)))))))))</f>
        <v/>
      </c>
      <c r="T112" s="88"/>
      <c r="U112" s="43"/>
      <c r="V112" s="5" t="s">
        <v>177</v>
      </c>
      <c r="W112" s="22" t="s">
        <v>177</v>
      </c>
      <c r="X112" s="22" t="s">
        <v>177</v>
      </c>
      <c r="Y112" s="22" t="s">
        <v>177</v>
      </c>
      <c r="Z112" s="22" t="s">
        <v>177</v>
      </c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</row>
    <row r="113" spans="1:46" ht="21" customHeight="1" x14ac:dyDescent="0.2">
      <c r="A113" s="35" t="s">
        <v>113</v>
      </c>
      <c r="B113" s="5">
        <v>5.5</v>
      </c>
      <c r="C113" s="36"/>
      <c r="D113" s="79" t="str">
        <f t="shared" si="13"/>
        <v/>
      </c>
      <c r="E113" s="81"/>
      <c r="F113" s="36"/>
      <c r="G113" s="5">
        <v>9.3000000000000007</v>
      </c>
      <c r="H113" s="3"/>
      <c r="I113" s="74" t="str">
        <f t="shared" si="14"/>
        <v/>
      </c>
      <c r="J113" s="78"/>
      <c r="K113" s="3"/>
      <c r="L113" s="5">
        <v>14.1</v>
      </c>
      <c r="M113" s="15"/>
      <c r="N113" s="84" t="str">
        <f t="shared" si="15"/>
        <v/>
      </c>
      <c r="O113" s="89"/>
      <c r="P113" s="15"/>
      <c r="Q113" s="5">
        <v>13.8</v>
      </c>
      <c r="R113" s="43"/>
      <c r="S113" s="86" t="str">
        <f>IF(R113="","",IF(AND(R113&gt;=960000,R113&lt;=999999),"V",IF(AND(R113&gt;=920000,R113&lt;=959999),"S",IF(AND(R113&gt;=880000,R113&lt;=919999),"A",IF(AND(R113&gt;=820000,R113&lt;=879999),"B",IF(AND(R113&gt;=700000,R113&lt;=819999),"C",IF(AND(R113&gt;=1,R113&lt;=699999),"F",IF(AND(R113=1000000),"φ",IF(AND(R113=0),"",R113)))))))))</f>
        <v/>
      </c>
      <c r="T113" s="88"/>
      <c r="U113" s="43"/>
      <c r="V113" s="5" t="s">
        <v>177</v>
      </c>
      <c r="W113" s="22" t="s">
        <v>177</v>
      </c>
      <c r="X113" s="22" t="s">
        <v>177</v>
      </c>
      <c r="Y113" s="22" t="s">
        <v>177</v>
      </c>
      <c r="Z113" s="22" t="s">
        <v>177</v>
      </c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46" ht="21" customHeight="1" x14ac:dyDescent="0.2">
      <c r="A114" s="35" t="s">
        <v>121</v>
      </c>
      <c r="B114" s="5">
        <v>5.7</v>
      </c>
      <c r="C114" s="36"/>
      <c r="D114" s="79" t="str">
        <f t="shared" si="13"/>
        <v/>
      </c>
      <c r="E114" s="81"/>
      <c r="F114" s="36"/>
      <c r="G114" s="5">
        <v>10.5</v>
      </c>
      <c r="H114" s="3"/>
      <c r="I114" s="74" t="str">
        <f t="shared" si="14"/>
        <v/>
      </c>
      <c r="J114" s="78"/>
      <c r="K114" s="3"/>
      <c r="L114" s="5">
        <v>14.4</v>
      </c>
      <c r="M114" s="15"/>
      <c r="N114" s="84" t="str">
        <f t="shared" si="15"/>
        <v/>
      </c>
      <c r="O114" s="89"/>
      <c r="P114" s="15"/>
      <c r="Q114" s="5" t="s">
        <v>177</v>
      </c>
      <c r="R114" s="22" t="s">
        <v>177</v>
      </c>
      <c r="S114" s="22" t="s">
        <v>177</v>
      </c>
      <c r="T114" s="22" t="s">
        <v>177</v>
      </c>
      <c r="U114" s="22" t="s">
        <v>177</v>
      </c>
      <c r="V114" s="5" t="s">
        <v>177</v>
      </c>
      <c r="W114" s="22" t="s">
        <v>177</v>
      </c>
      <c r="X114" s="22" t="s">
        <v>177</v>
      </c>
      <c r="Y114" s="22" t="s">
        <v>177</v>
      </c>
      <c r="Z114" s="22" t="s">
        <v>177</v>
      </c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</row>
    <row r="115" spans="1:46" ht="21" customHeight="1" x14ac:dyDescent="0.2">
      <c r="A115" s="35" t="s">
        <v>136</v>
      </c>
      <c r="B115" s="5">
        <v>4.5999999999999996</v>
      </c>
      <c r="C115" s="36"/>
      <c r="D115" s="79" t="str">
        <f t="shared" si="13"/>
        <v/>
      </c>
      <c r="E115" s="81"/>
      <c r="F115" s="36"/>
      <c r="G115" s="5">
        <v>9.1999999999999993</v>
      </c>
      <c r="H115" s="3"/>
      <c r="I115" s="74" t="str">
        <f t="shared" si="14"/>
        <v/>
      </c>
      <c r="J115" s="78"/>
      <c r="K115" s="3"/>
      <c r="L115" s="5">
        <v>14.9</v>
      </c>
      <c r="M115" s="15"/>
      <c r="N115" s="84" t="str">
        <f t="shared" si="15"/>
        <v/>
      </c>
      <c r="O115" s="89"/>
      <c r="P115" s="15"/>
      <c r="Q115" s="5" t="s">
        <v>177</v>
      </c>
      <c r="R115" s="22" t="s">
        <v>177</v>
      </c>
      <c r="S115" s="22" t="s">
        <v>177</v>
      </c>
      <c r="T115" s="22" t="s">
        <v>177</v>
      </c>
      <c r="U115" s="22" t="s">
        <v>177</v>
      </c>
      <c r="V115" s="5" t="s">
        <v>177</v>
      </c>
      <c r="W115" s="22" t="s">
        <v>177</v>
      </c>
      <c r="X115" s="22" t="s">
        <v>177</v>
      </c>
      <c r="Y115" s="22" t="s">
        <v>177</v>
      </c>
      <c r="Z115" s="22" t="s">
        <v>177</v>
      </c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</row>
    <row r="116" spans="1:46" ht="21" customHeight="1" x14ac:dyDescent="0.2">
      <c r="A116" s="35" t="s">
        <v>118</v>
      </c>
      <c r="B116" s="5">
        <v>6.8</v>
      </c>
      <c r="C116" s="36"/>
      <c r="D116" s="79" t="str">
        <f t="shared" si="13"/>
        <v/>
      </c>
      <c r="E116" s="81"/>
      <c r="F116" s="36"/>
      <c r="G116" s="5">
        <v>10.8</v>
      </c>
      <c r="H116" s="3"/>
      <c r="I116" s="74" t="str">
        <f t="shared" si="14"/>
        <v/>
      </c>
      <c r="J116" s="78"/>
      <c r="K116" s="3"/>
      <c r="L116" s="5">
        <v>14.4</v>
      </c>
      <c r="M116" s="15"/>
      <c r="N116" s="84" t="str">
        <f t="shared" si="15"/>
        <v/>
      </c>
      <c r="O116" s="89"/>
      <c r="P116" s="15"/>
      <c r="Q116" s="5">
        <v>14.4</v>
      </c>
      <c r="R116" s="43"/>
      <c r="S116" s="86" t="str">
        <f>IF(R116="","",IF(AND(R116&gt;=960000,R116&lt;=999999),"V",IF(AND(R116&gt;=920000,R116&lt;=959999),"S",IF(AND(R116&gt;=880000,R116&lt;=919999),"A",IF(AND(R116&gt;=820000,R116&lt;=879999),"B",IF(AND(R116&gt;=700000,R116&lt;=819999),"C",IF(AND(R116&gt;=1,R116&lt;=699999),"F",IF(AND(R116=1000000),"φ",IF(AND(R116=0),"",R116)))))))))</f>
        <v/>
      </c>
      <c r="T116" s="88"/>
      <c r="U116" s="43"/>
      <c r="V116" s="5">
        <v>16.100000000000001</v>
      </c>
      <c r="W116" s="58"/>
      <c r="X116" s="91" t="str">
        <f>IF(W116="","",IF(AND(W116&gt;=960000,W116&lt;=999999),"V",IF(AND(W116&gt;=920000,W116&lt;=959999),"S",IF(AND(W116&gt;=880000,W116&lt;=919999),"A",IF(AND(W116&gt;=820000,W116&lt;=879999),"B",IF(AND(W116&gt;=700000,W116&lt;=819999),"C",IF(AND(W116&gt;=1,W116&lt;=699999),"F",IF(AND(W116=1000000),"φ",IF(AND(W116=0),"",W116)))))))))</f>
        <v/>
      </c>
      <c r="Y116" s="92"/>
      <c r="Z116" s="58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</row>
    <row r="117" spans="1:46" ht="21" customHeight="1" x14ac:dyDescent="0.2">
      <c r="A117" s="35" t="s">
        <v>99</v>
      </c>
      <c r="B117" s="5">
        <v>4.2</v>
      </c>
      <c r="C117" s="36"/>
      <c r="D117" s="79" t="str">
        <f t="shared" si="13"/>
        <v/>
      </c>
      <c r="E117" s="81"/>
      <c r="F117" s="36"/>
      <c r="G117" s="5">
        <v>9.1999999999999993</v>
      </c>
      <c r="H117" s="3"/>
      <c r="I117" s="74" t="str">
        <f t="shared" si="14"/>
        <v/>
      </c>
      <c r="J117" s="78"/>
      <c r="K117" s="3"/>
      <c r="L117" s="5">
        <v>12.4</v>
      </c>
      <c r="M117" s="15"/>
      <c r="N117" s="84" t="str">
        <f t="shared" si="15"/>
        <v/>
      </c>
      <c r="O117" s="89"/>
      <c r="P117" s="15"/>
      <c r="Q117" s="5" t="s">
        <v>177</v>
      </c>
      <c r="R117" s="22" t="s">
        <v>177</v>
      </c>
      <c r="S117" s="22" t="s">
        <v>177</v>
      </c>
      <c r="T117" s="22" t="s">
        <v>177</v>
      </c>
      <c r="U117" s="22" t="s">
        <v>177</v>
      </c>
      <c r="V117" s="5" t="s">
        <v>177</v>
      </c>
      <c r="W117" s="22" t="s">
        <v>177</v>
      </c>
      <c r="X117" s="22" t="s">
        <v>177</v>
      </c>
      <c r="Y117" s="22" t="s">
        <v>177</v>
      </c>
      <c r="Z117" s="22" t="s">
        <v>177</v>
      </c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</row>
    <row r="118" spans="1:46" ht="21" customHeight="1" x14ac:dyDescent="0.2">
      <c r="A118" s="31" t="s">
        <v>132</v>
      </c>
      <c r="B118" s="5">
        <v>5.2</v>
      </c>
      <c r="C118" s="36"/>
      <c r="D118" s="79" t="str">
        <f t="shared" si="13"/>
        <v/>
      </c>
      <c r="E118" s="81"/>
      <c r="F118" s="36"/>
      <c r="G118" s="5">
        <v>10.8</v>
      </c>
      <c r="H118" s="3"/>
      <c r="I118" s="74" t="str">
        <f t="shared" si="14"/>
        <v/>
      </c>
      <c r="J118" s="78"/>
      <c r="K118" s="3"/>
      <c r="L118" s="5">
        <v>14.2</v>
      </c>
      <c r="M118" s="15"/>
      <c r="N118" s="84" t="str">
        <f t="shared" si="15"/>
        <v/>
      </c>
      <c r="O118" s="89"/>
      <c r="P118" s="15"/>
      <c r="Q118" s="5">
        <v>14.7</v>
      </c>
      <c r="R118" s="43"/>
      <c r="S118" s="86" t="str">
        <f>IF(R118="","",IF(AND(R118&gt;=960000,R118&lt;=999999),"V",IF(AND(R118&gt;=920000,R118&lt;=959999),"S",IF(AND(R118&gt;=880000,R118&lt;=919999),"A",IF(AND(R118&gt;=820000,R118&lt;=879999),"B",IF(AND(R118&gt;=700000,R118&lt;=819999),"C",IF(AND(R118&gt;=1,R118&lt;=699999),"F",IF(AND(R118=1000000),"φ",IF(AND(R118=0),"",R118)))))))))</f>
        <v/>
      </c>
      <c r="T118" s="88"/>
      <c r="U118" s="43"/>
      <c r="V118" s="5" t="s">
        <v>177</v>
      </c>
      <c r="W118" s="22" t="s">
        <v>177</v>
      </c>
      <c r="X118" s="22" t="s">
        <v>177</v>
      </c>
      <c r="Y118" s="22" t="s">
        <v>177</v>
      </c>
      <c r="Z118" s="22" t="s">
        <v>177</v>
      </c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</row>
    <row r="119" spans="1:46" ht="21" customHeight="1" x14ac:dyDescent="0.2">
      <c r="A119" s="35" t="s">
        <v>106</v>
      </c>
      <c r="B119" s="5">
        <v>5.0999999999999996</v>
      </c>
      <c r="C119" s="36"/>
      <c r="D119" s="79" t="str">
        <f t="shared" si="13"/>
        <v/>
      </c>
      <c r="E119" s="81"/>
      <c r="F119" s="36"/>
      <c r="G119" s="5">
        <v>9.6</v>
      </c>
      <c r="H119" s="3"/>
      <c r="I119" s="74" t="str">
        <f t="shared" si="14"/>
        <v/>
      </c>
      <c r="J119" s="78"/>
      <c r="K119" s="3"/>
      <c r="L119" s="5">
        <v>13.6</v>
      </c>
      <c r="M119" s="15"/>
      <c r="N119" s="84" t="str">
        <f t="shared" si="15"/>
        <v/>
      </c>
      <c r="O119" s="89"/>
      <c r="P119" s="15"/>
      <c r="Q119" s="5" t="s">
        <v>177</v>
      </c>
      <c r="R119" s="22" t="s">
        <v>177</v>
      </c>
      <c r="S119" s="22" t="s">
        <v>177</v>
      </c>
      <c r="T119" s="22" t="s">
        <v>177</v>
      </c>
      <c r="U119" s="22" t="s">
        <v>177</v>
      </c>
      <c r="V119" s="5" t="s">
        <v>177</v>
      </c>
      <c r="W119" s="22" t="s">
        <v>177</v>
      </c>
      <c r="X119" s="22" t="s">
        <v>177</v>
      </c>
      <c r="Y119" s="22" t="s">
        <v>177</v>
      </c>
      <c r="Z119" s="22" t="s">
        <v>177</v>
      </c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</row>
    <row r="120" spans="1:46" ht="21" customHeight="1" x14ac:dyDescent="0.2">
      <c r="A120" s="35" t="s">
        <v>134</v>
      </c>
      <c r="B120" s="5">
        <v>4.2</v>
      </c>
      <c r="C120" s="36"/>
      <c r="D120" s="79" t="str">
        <f t="shared" si="13"/>
        <v/>
      </c>
      <c r="E120" s="81"/>
      <c r="F120" s="36"/>
      <c r="G120" s="5">
        <v>10.6</v>
      </c>
      <c r="H120" s="3"/>
      <c r="I120" s="74" t="str">
        <f t="shared" si="14"/>
        <v/>
      </c>
      <c r="J120" s="78"/>
      <c r="K120" s="3"/>
      <c r="L120" s="5">
        <v>14.8</v>
      </c>
      <c r="M120" s="15"/>
      <c r="N120" s="84" t="str">
        <f t="shared" si="15"/>
        <v/>
      </c>
      <c r="O120" s="89"/>
      <c r="P120" s="15"/>
      <c r="Q120" s="5" t="s">
        <v>177</v>
      </c>
      <c r="R120" s="22" t="s">
        <v>177</v>
      </c>
      <c r="S120" s="22" t="s">
        <v>177</v>
      </c>
      <c r="T120" s="22" t="s">
        <v>177</v>
      </c>
      <c r="U120" s="22" t="s">
        <v>177</v>
      </c>
      <c r="V120" s="5" t="s">
        <v>177</v>
      </c>
      <c r="W120" s="22" t="s">
        <v>177</v>
      </c>
      <c r="X120" s="22" t="s">
        <v>177</v>
      </c>
      <c r="Y120" s="22" t="s">
        <v>177</v>
      </c>
      <c r="Z120" s="22" t="s">
        <v>177</v>
      </c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</row>
    <row r="121" spans="1:46" ht="21" customHeight="1" x14ac:dyDescent="0.2">
      <c r="A121" s="35" t="s">
        <v>146</v>
      </c>
      <c r="B121" s="5">
        <v>4.5</v>
      </c>
      <c r="C121" s="36"/>
      <c r="D121" s="79" t="str">
        <f t="shared" si="13"/>
        <v/>
      </c>
      <c r="E121" s="81"/>
      <c r="F121" s="36"/>
      <c r="G121" s="5">
        <v>11.6</v>
      </c>
      <c r="H121" s="3"/>
      <c r="I121" s="74" t="str">
        <f t="shared" si="14"/>
        <v/>
      </c>
      <c r="J121" s="78"/>
      <c r="K121" s="3"/>
      <c r="L121" s="5">
        <v>15.6</v>
      </c>
      <c r="M121" s="15"/>
      <c r="N121" s="84" t="str">
        <f t="shared" si="15"/>
        <v/>
      </c>
      <c r="O121" s="89"/>
      <c r="P121" s="15"/>
      <c r="Q121" s="5" t="s">
        <v>177</v>
      </c>
      <c r="R121" s="22" t="s">
        <v>177</v>
      </c>
      <c r="S121" s="22" t="s">
        <v>177</v>
      </c>
      <c r="T121" s="22" t="s">
        <v>177</v>
      </c>
      <c r="U121" s="22" t="s">
        <v>177</v>
      </c>
      <c r="V121" s="5" t="s">
        <v>177</v>
      </c>
      <c r="W121" s="22" t="s">
        <v>177</v>
      </c>
      <c r="X121" s="22" t="s">
        <v>177</v>
      </c>
      <c r="Y121" s="22" t="s">
        <v>177</v>
      </c>
      <c r="Z121" s="22" t="s">
        <v>177</v>
      </c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</row>
    <row r="122" spans="1:46" ht="21" customHeight="1" x14ac:dyDescent="0.2">
      <c r="A122" s="35" t="s">
        <v>95</v>
      </c>
      <c r="B122" s="5">
        <v>4.8</v>
      </c>
      <c r="C122" s="36"/>
      <c r="D122" s="79" t="str">
        <f t="shared" si="13"/>
        <v/>
      </c>
      <c r="E122" s="81"/>
      <c r="F122" s="36"/>
      <c r="G122" s="5">
        <v>9.1999999999999993</v>
      </c>
      <c r="H122" s="3"/>
      <c r="I122" s="74" t="str">
        <f t="shared" si="14"/>
        <v/>
      </c>
      <c r="J122" s="78"/>
      <c r="K122" s="3"/>
      <c r="L122" s="5">
        <v>12.6</v>
      </c>
      <c r="M122" s="15"/>
      <c r="N122" s="84" t="str">
        <f t="shared" si="15"/>
        <v/>
      </c>
      <c r="O122" s="89"/>
      <c r="P122" s="15"/>
      <c r="Q122" s="5" t="s">
        <v>177</v>
      </c>
      <c r="R122" s="22" t="s">
        <v>177</v>
      </c>
      <c r="S122" s="22" t="s">
        <v>177</v>
      </c>
      <c r="T122" s="22" t="s">
        <v>177</v>
      </c>
      <c r="U122" s="22" t="s">
        <v>177</v>
      </c>
      <c r="V122" s="5" t="s">
        <v>177</v>
      </c>
      <c r="W122" s="22" t="s">
        <v>177</v>
      </c>
      <c r="X122" s="22" t="s">
        <v>177</v>
      </c>
      <c r="Y122" s="22" t="s">
        <v>177</v>
      </c>
      <c r="Z122" s="22" t="s">
        <v>177</v>
      </c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</row>
    <row r="123" spans="1:46" ht="21" customHeight="1" x14ac:dyDescent="0.2">
      <c r="A123" s="35" t="s">
        <v>97</v>
      </c>
      <c r="B123" s="5">
        <v>3.3</v>
      </c>
      <c r="C123" s="36"/>
      <c r="D123" s="79" t="str">
        <f t="shared" si="13"/>
        <v/>
      </c>
      <c r="E123" s="81"/>
      <c r="F123" s="36"/>
      <c r="G123" s="5">
        <v>9.4</v>
      </c>
      <c r="H123" s="3"/>
      <c r="I123" s="74" t="str">
        <f t="shared" si="14"/>
        <v/>
      </c>
      <c r="J123" s="78"/>
      <c r="K123" s="3"/>
      <c r="L123" s="5">
        <v>12.8</v>
      </c>
      <c r="M123" s="15"/>
      <c r="N123" s="84" t="str">
        <f t="shared" si="15"/>
        <v/>
      </c>
      <c r="O123" s="89"/>
      <c r="P123" s="15"/>
      <c r="Q123" s="5" t="s">
        <v>177</v>
      </c>
      <c r="R123" s="22" t="s">
        <v>177</v>
      </c>
      <c r="S123" s="22" t="s">
        <v>177</v>
      </c>
      <c r="T123" s="22" t="s">
        <v>177</v>
      </c>
      <c r="U123" s="22" t="s">
        <v>177</v>
      </c>
      <c r="V123" s="5" t="s">
        <v>177</v>
      </c>
      <c r="W123" s="22" t="s">
        <v>177</v>
      </c>
      <c r="X123" s="22" t="s">
        <v>177</v>
      </c>
      <c r="Y123" s="22" t="s">
        <v>177</v>
      </c>
      <c r="Z123" s="22" t="s">
        <v>177</v>
      </c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</row>
    <row r="124" spans="1:46" ht="21" customHeight="1" x14ac:dyDescent="0.2">
      <c r="A124" s="35" t="s">
        <v>105</v>
      </c>
      <c r="B124" s="5">
        <v>4.3</v>
      </c>
      <c r="C124" s="36"/>
      <c r="D124" s="79" t="str">
        <f t="shared" si="13"/>
        <v/>
      </c>
      <c r="E124" s="81"/>
      <c r="F124" s="36"/>
      <c r="G124" s="5">
        <v>11.7</v>
      </c>
      <c r="H124" s="3"/>
      <c r="I124" s="74" t="str">
        <f t="shared" si="14"/>
        <v/>
      </c>
      <c r="J124" s="78"/>
      <c r="K124" s="3"/>
      <c r="L124" s="5">
        <v>14.4</v>
      </c>
      <c r="M124" s="15"/>
      <c r="N124" s="84" t="str">
        <f t="shared" si="15"/>
        <v/>
      </c>
      <c r="O124" s="89"/>
      <c r="P124" s="15"/>
      <c r="Q124" s="5" t="s">
        <v>177</v>
      </c>
      <c r="R124" s="22" t="s">
        <v>177</v>
      </c>
      <c r="S124" s="22" t="s">
        <v>177</v>
      </c>
      <c r="T124" s="22" t="s">
        <v>177</v>
      </c>
      <c r="U124" s="22" t="s">
        <v>177</v>
      </c>
      <c r="V124" s="5" t="s">
        <v>177</v>
      </c>
      <c r="W124" s="22" t="s">
        <v>177</v>
      </c>
      <c r="X124" s="22" t="s">
        <v>177</v>
      </c>
      <c r="Y124" s="22" t="s">
        <v>177</v>
      </c>
      <c r="Z124" s="22" t="s">
        <v>177</v>
      </c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</row>
    <row r="125" spans="1:46" ht="21" customHeight="1" x14ac:dyDescent="0.2">
      <c r="A125" s="35" t="s">
        <v>130</v>
      </c>
      <c r="B125" s="5">
        <v>4.3</v>
      </c>
      <c r="C125" s="36"/>
      <c r="D125" s="79" t="str">
        <f t="shared" si="13"/>
        <v/>
      </c>
      <c r="E125" s="81"/>
      <c r="F125" s="36"/>
      <c r="G125" s="5">
        <v>10.3</v>
      </c>
      <c r="H125" s="3"/>
      <c r="I125" s="74" t="str">
        <f t="shared" si="14"/>
        <v/>
      </c>
      <c r="J125" s="78"/>
      <c r="K125" s="3"/>
      <c r="L125" s="5">
        <v>14.3</v>
      </c>
      <c r="M125" s="15"/>
      <c r="N125" s="84" t="str">
        <f t="shared" si="15"/>
        <v/>
      </c>
      <c r="O125" s="89"/>
      <c r="P125" s="15"/>
      <c r="Q125" s="5" t="s">
        <v>177</v>
      </c>
      <c r="R125" s="22" t="s">
        <v>177</v>
      </c>
      <c r="S125" s="22" t="s">
        <v>177</v>
      </c>
      <c r="T125" s="22" t="s">
        <v>177</v>
      </c>
      <c r="U125" s="22" t="s">
        <v>177</v>
      </c>
      <c r="V125" s="5" t="s">
        <v>177</v>
      </c>
      <c r="W125" s="22" t="s">
        <v>177</v>
      </c>
      <c r="X125" s="22" t="s">
        <v>177</v>
      </c>
      <c r="Y125" s="22" t="s">
        <v>177</v>
      </c>
      <c r="Z125" s="22" t="s">
        <v>177</v>
      </c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</row>
    <row r="126" spans="1:46" ht="21" customHeight="1" x14ac:dyDescent="0.2">
      <c r="A126" s="35" t="s">
        <v>125</v>
      </c>
      <c r="B126" s="5">
        <v>6.3</v>
      </c>
      <c r="C126" s="36"/>
      <c r="D126" s="79" t="str">
        <f t="shared" si="13"/>
        <v/>
      </c>
      <c r="E126" s="81"/>
      <c r="F126" s="36"/>
      <c r="G126" s="5">
        <v>11.3</v>
      </c>
      <c r="H126" s="3"/>
      <c r="I126" s="74" t="str">
        <f t="shared" si="14"/>
        <v/>
      </c>
      <c r="J126" s="78"/>
      <c r="K126" s="3"/>
      <c r="L126" s="5">
        <v>14.5</v>
      </c>
      <c r="M126" s="15"/>
      <c r="N126" s="84" t="str">
        <f t="shared" si="15"/>
        <v/>
      </c>
      <c r="O126" s="89"/>
      <c r="P126" s="15"/>
      <c r="Q126" s="5" t="s">
        <v>177</v>
      </c>
      <c r="R126" s="22" t="s">
        <v>177</v>
      </c>
      <c r="S126" s="22" t="s">
        <v>177</v>
      </c>
      <c r="T126" s="22" t="s">
        <v>177</v>
      </c>
      <c r="U126" s="22" t="s">
        <v>177</v>
      </c>
      <c r="V126" s="5" t="s">
        <v>177</v>
      </c>
      <c r="W126" s="22" t="s">
        <v>177</v>
      </c>
      <c r="X126" s="22" t="s">
        <v>177</v>
      </c>
      <c r="Y126" s="22" t="s">
        <v>177</v>
      </c>
      <c r="Z126" s="22" t="s">
        <v>177</v>
      </c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</row>
    <row r="127" spans="1:46" ht="21" customHeight="1" x14ac:dyDescent="0.2">
      <c r="A127" s="35" t="s">
        <v>112</v>
      </c>
      <c r="B127" s="5">
        <v>6.6</v>
      </c>
      <c r="C127" s="36"/>
      <c r="D127" s="79" t="str">
        <f t="shared" si="13"/>
        <v/>
      </c>
      <c r="E127" s="81"/>
      <c r="F127" s="36"/>
      <c r="G127" s="5">
        <v>11.4</v>
      </c>
      <c r="H127" s="3"/>
      <c r="I127" s="74" t="str">
        <f t="shared" si="14"/>
        <v/>
      </c>
      <c r="J127" s="78"/>
      <c r="K127" s="3"/>
      <c r="L127" s="5">
        <v>13.8</v>
      </c>
      <c r="M127" s="15"/>
      <c r="N127" s="84" t="str">
        <f t="shared" si="15"/>
        <v/>
      </c>
      <c r="O127" s="89"/>
      <c r="P127" s="15"/>
      <c r="Q127" s="5" t="s">
        <v>177</v>
      </c>
      <c r="R127" s="22" t="s">
        <v>177</v>
      </c>
      <c r="S127" s="22" t="s">
        <v>177</v>
      </c>
      <c r="T127" s="22" t="s">
        <v>177</v>
      </c>
      <c r="U127" s="22" t="s">
        <v>177</v>
      </c>
      <c r="V127" s="5" t="s">
        <v>177</v>
      </c>
      <c r="W127" s="22" t="s">
        <v>177</v>
      </c>
      <c r="X127" s="22" t="s">
        <v>177</v>
      </c>
      <c r="Y127" s="22" t="s">
        <v>177</v>
      </c>
      <c r="Z127" s="22" t="s">
        <v>177</v>
      </c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</row>
    <row r="128" spans="1:46" ht="21" customHeight="1" x14ac:dyDescent="0.2">
      <c r="A128" s="35" t="s">
        <v>148</v>
      </c>
      <c r="B128" s="5">
        <v>5.6</v>
      </c>
      <c r="C128" s="36"/>
      <c r="D128" s="79" t="str">
        <f t="shared" si="13"/>
        <v/>
      </c>
      <c r="E128" s="81"/>
      <c r="F128" s="36"/>
      <c r="G128" s="5">
        <v>11.8</v>
      </c>
      <c r="H128" s="3"/>
      <c r="I128" s="74" t="str">
        <f t="shared" si="14"/>
        <v/>
      </c>
      <c r="J128" s="78"/>
      <c r="K128" s="3"/>
      <c r="L128" s="5">
        <v>15.7</v>
      </c>
      <c r="M128" s="15"/>
      <c r="N128" s="84" t="str">
        <f t="shared" si="15"/>
        <v/>
      </c>
      <c r="O128" s="89"/>
      <c r="P128" s="15"/>
      <c r="Q128" s="5" t="s">
        <v>177</v>
      </c>
      <c r="R128" s="22" t="s">
        <v>177</v>
      </c>
      <c r="S128" s="22" t="s">
        <v>177</v>
      </c>
      <c r="T128" s="22" t="s">
        <v>177</v>
      </c>
      <c r="U128" s="22" t="s">
        <v>177</v>
      </c>
      <c r="V128" s="5" t="s">
        <v>177</v>
      </c>
      <c r="W128" s="22" t="s">
        <v>177</v>
      </c>
      <c r="X128" s="22" t="s">
        <v>177</v>
      </c>
      <c r="Y128" s="22" t="s">
        <v>177</v>
      </c>
      <c r="Z128" s="22" t="s">
        <v>177</v>
      </c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</row>
    <row r="129" spans="1:46" ht="21" customHeight="1" x14ac:dyDescent="0.2">
      <c r="A129" s="35" t="s">
        <v>120</v>
      </c>
      <c r="B129" s="5">
        <v>4.3</v>
      </c>
      <c r="C129" s="36"/>
      <c r="D129" s="79" t="str">
        <f t="shared" si="13"/>
        <v/>
      </c>
      <c r="E129" s="81"/>
      <c r="F129" s="36"/>
      <c r="G129" s="5">
        <v>9.1</v>
      </c>
      <c r="H129" s="3"/>
      <c r="I129" s="74" t="str">
        <f t="shared" si="14"/>
        <v/>
      </c>
      <c r="J129" s="78"/>
      <c r="K129" s="3"/>
      <c r="L129" s="5">
        <v>14.4</v>
      </c>
      <c r="M129" s="15"/>
      <c r="N129" s="84" t="str">
        <f t="shared" si="15"/>
        <v/>
      </c>
      <c r="O129" s="89"/>
      <c r="P129" s="15"/>
      <c r="Q129" s="5" t="s">
        <v>177</v>
      </c>
      <c r="R129" s="22" t="s">
        <v>177</v>
      </c>
      <c r="S129" s="22" t="s">
        <v>177</v>
      </c>
      <c r="T129" s="22" t="s">
        <v>177</v>
      </c>
      <c r="U129" s="22" t="s">
        <v>177</v>
      </c>
      <c r="V129" s="5" t="s">
        <v>177</v>
      </c>
      <c r="W129" s="22" t="s">
        <v>177</v>
      </c>
      <c r="X129" s="22" t="s">
        <v>177</v>
      </c>
      <c r="Y129" s="22" t="s">
        <v>177</v>
      </c>
      <c r="Z129" s="22" t="s">
        <v>177</v>
      </c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</row>
    <row r="130" spans="1:46" ht="21" customHeight="1" x14ac:dyDescent="0.2">
      <c r="A130" s="35" t="s">
        <v>114</v>
      </c>
      <c r="B130" s="5">
        <v>4.7</v>
      </c>
      <c r="C130" s="36"/>
      <c r="D130" s="79" t="str">
        <f t="shared" si="13"/>
        <v/>
      </c>
      <c r="E130" s="81"/>
      <c r="F130" s="36"/>
      <c r="G130" s="5">
        <v>10.6</v>
      </c>
      <c r="H130" s="3"/>
      <c r="I130" s="74" t="str">
        <f t="shared" si="14"/>
        <v/>
      </c>
      <c r="J130" s="78"/>
      <c r="K130" s="3"/>
      <c r="L130" s="5">
        <v>14.2</v>
      </c>
      <c r="M130" s="15"/>
      <c r="N130" s="84" t="str">
        <f t="shared" si="15"/>
        <v/>
      </c>
      <c r="O130" s="89"/>
      <c r="P130" s="15"/>
      <c r="Q130" s="5" t="s">
        <v>177</v>
      </c>
      <c r="R130" s="22" t="s">
        <v>177</v>
      </c>
      <c r="S130" s="22" t="s">
        <v>177</v>
      </c>
      <c r="T130" s="22" t="s">
        <v>177</v>
      </c>
      <c r="U130" s="22" t="s">
        <v>177</v>
      </c>
      <c r="V130" s="5" t="s">
        <v>177</v>
      </c>
      <c r="W130" s="22" t="s">
        <v>177</v>
      </c>
      <c r="X130" s="22" t="s">
        <v>177</v>
      </c>
      <c r="Y130" s="22" t="s">
        <v>177</v>
      </c>
      <c r="Z130" s="22" t="s">
        <v>177</v>
      </c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</row>
    <row r="131" spans="1:46" ht="21" customHeight="1" x14ac:dyDescent="0.2">
      <c r="A131" s="35" t="s">
        <v>115</v>
      </c>
      <c r="B131" s="5">
        <v>5.8</v>
      </c>
      <c r="C131" s="36"/>
      <c r="D131" s="79" t="str">
        <f t="shared" si="13"/>
        <v/>
      </c>
      <c r="E131" s="81"/>
      <c r="F131" s="36"/>
      <c r="G131" s="5">
        <v>7.5</v>
      </c>
      <c r="H131" s="3"/>
      <c r="I131" s="74" t="str">
        <f t="shared" si="14"/>
        <v/>
      </c>
      <c r="J131" s="78"/>
      <c r="K131" s="3"/>
      <c r="L131" s="5">
        <v>14.3</v>
      </c>
      <c r="M131" s="15"/>
      <c r="N131" s="84" t="str">
        <f t="shared" si="15"/>
        <v/>
      </c>
      <c r="O131" s="89"/>
      <c r="P131" s="15"/>
      <c r="Q131" s="5" t="s">
        <v>177</v>
      </c>
      <c r="R131" s="22" t="s">
        <v>177</v>
      </c>
      <c r="S131" s="22" t="s">
        <v>177</v>
      </c>
      <c r="T131" s="22" t="s">
        <v>177</v>
      </c>
      <c r="U131" s="22" t="s">
        <v>177</v>
      </c>
      <c r="V131" s="5" t="s">
        <v>177</v>
      </c>
      <c r="W131" s="22" t="s">
        <v>177</v>
      </c>
      <c r="X131" s="22" t="s">
        <v>177</v>
      </c>
      <c r="Y131" s="22" t="s">
        <v>177</v>
      </c>
      <c r="Z131" s="22" t="s">
        <v>177</v>
      </c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</row>
    <row r="132" spans="1:46" ht="21" customHeight="1" x14ac:dyDescent="0.2">
      <c r="A132" s="34" t="s">
        <v>119</v>
      </c>
      <c r="B132" s="5">
        <v>6.8</v>
      </c>
      <c r="C132" s="36"/>
      <c r="D132" s="79" t="str">
        <f t="shared" si="13"/>
        <v/>
      </c>
      <c r="E132" s="81"/>
      <c r="F132" s="36"/>
      <c r="G132" s="5">
        <v>10.7</v>
      </c>
      <c r="H132" s="3"/>
      <c r="I132" s="74" t="str">
        <f t="shared" si="14"/>
        <v/>
      </c>
      <c r="J132" s="78"/>
      <c r="K132" s="3"/>
      <c r="L132" s="5">
        <v>14.4</v>
      </c>
      <c r="M132" s="15"/>
      <c r="N132" s="84" t="str">
        <f t="shared" si="15"/>
        <v/>
      </c>
      <c r="O132" s="89"/>
      <c r="P132" s="15"/>
      <c r="Q132" s="5" t="s">
        <v>177</v>
      </c>
      <c r="R132" s="22" t="s">
        <v>177</v>
      </c>
      <c r="S132" s="22" t="s">
        <v>177</v>
      </c>
      <c r="T132" s="22" t="s">
        <v>177</v>
      </c>
      <c r="U132" s="22" t="s">
        <v>177</v>
      </c>
      <c r="V132" s="5" t="s">
        <v>177</v>
      </c>
      <c r="W132" s="22" t="s">
        <v>177</v>
      </c>
      <c r="X132" s="22" t="s">
        <v>177</v>
      </c>
      <c r="Y132" s="22" t="s">
        <v>177</v>
      </c>
      <c r="Z132" s="22" t="s">
        <v>177</v>
      </c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</row>
    <row r="133" spans="1:46" ht="21" customHeight="1" x14ac:dyDescent="0.2">
      <c r="A133" s="35" t="s">
        <v>138</v>
      </c>
      <c r="B133" s="5">
        <v>5.6</v>
      </c>
      <c r="C133" s="36"/>
      <c r="D133" s="79" t="str">
        <f t="shared" si="13"/>
        <v/>
      </c>
      <c r="E133" s="81"/>
      <c r="F133" s="36"/>
      <c r="G133" s="5">
        <v>11.4</v>
      </c>
      <c r="H133" s="3"/>
      <c r="I133" s="74" t="str">
        <f t="shared" si="14"/>
        <v/>
      </c>
      <c r="J133" s="78"/>
      <c r="K133" s="3"/>
      <c r="L133" s="5">
        <v>15.1</v>
      </c>
      <c r="M133" s="15"/>
      <c r="N133" s="84" t="str">
        <f t="shared" si="15"/>
        <v/>
      </c>
      <c r="O133" s="89"/>
      <c r="P133" s="15"/>
      <c r="Q133" s="5" t="s">
        <v>177</v>
      </c>
      <c r="R133" s="22" t="s">
        <v>177</v>
      </c>
      <c r="S133" s="22" t="s">
        <v>177</v>
      </c>
      <c r="T133" s="22" t="s">
        <v>177</v>
      </c>
      <c r="U133" s="22" t="s">
        <v>177</v>
      </c>
      <c r="V133" s="5" t="s">
        <v>177</v>
      </c>
      <c r="W133" s="22" t="s">
        <v>177</v>
      </c>
      <c r="X133" s="22" t="s">
        <v>177</v>
      </c>
      <c r="Y133" s="22" t="s">
        <v>177</v>
      </c>
      <c r="Z133" s="22" t="s">
        <v>177</v>
      </c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</row>
    <row r="134" spans="1:46" ht="21" customHeight="1" x14ac:dyDescent="0.2">
      <c r="A134" s="35" t="s">
        <v>107</v>
      </c>
      <c r="B134" s="5">
        <v>3.7</v>
      </c>
      <c r="C134" s="36"/>
      <c r="D134" s="79" t="str">
        <f t="shared" si="13"/>
        <v/>
      </c>
      <c r="E134" s="81"/>
      <c r="F134" s="36"/>
      <c r="G134" s="5">
        <v>10.4</v>
      </c>
      <c r="H134" s="3"/>
      <c r="I134" s="74" t="str">
        <f t="shared" si="14"/>
        <v/>
      </c>
      <c r="J134" s="78"/>
      <c r="K134" s="3"/>
      <c r="L134" s="5">
        <v>13.2</v>
      </c>
      <c r="M134" s="15"/>
      <c r="N134" s="84" t="str">
        <f t="shared" si="15"/>
        <v/>
      </c>
      <c r="O134" s="89"/>
      <c r="P134" s="15"/>
      <c r="Q134" s="5" t="s">
        <v>177</v>
      </c>
      <c r="R134" s="22" t="s">
        <v>177</v>
      </c>
      <c r="S134" s="22" t="s">
        <v>177</v>
      </c>
      <c r="T134" s="22" t="s">
        <v>177</v>
      </c>
      <c r="U134" s="22" t="s">
        <v>177</v>
      </c>
      <c r="V134" s="5" t="s">
        <v>177</v>
      </c>
      <c r="W134" s="22" t="s">
        <v>177</v>
      </c>
      <c r="X134" s="22" t="s">
        <v>177</v>
      </c>
      <c r="Y134" s="22" t="s">
        <v>177</v>
      </c>
      <c r="Z134" s="22" t="s">
        <v>177</v>
      </c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</row>
    <row r="135" spans="1:46" ht="21" customHeight="1" x14ac:dyDescent="0.2">
      <c r="A135" s="35" t="s">
        <v>147</v>
      </c>
      <c r="B135" s="5">
        <v>4.8</v>
      </c>
      <c r="C135" s="36"/>
      <c r="D135" s="79" t="str">
        <f t="shared" si="13"/>
        <v/>
      </c>
      <c r="E135" s="81"/>
      <c r="F135" s="36"/>
      <c r="G135" s="5">
        <v>11.5</v>
      </c>
      <c r="H135" s="3"/>
      <c r="I135" s="74" t="str">
        <f t="shared" si="14"/>
        <v/>
      </c>
      <c r="J135" s="78"/>
      <c r="K135" s="3"/>
      <c r="L135" s="5">
        <v>15.6</v>
      </c>
      <c r="M135" s="15"/>
      <c r="N135" s="84" t="str">
        <f t="shared" si="15"/>
        <v/>
      </c>
      <c r="O135" s="89"/>
      <c r="P135" s="15"/>
      <c r="Q135" s="5" t="s">
        <v>177</v>
      </c>
      <c r="R135" s="22" t="s">
        <v>177</v>
      </c>
      <c r="S135" s="22" t="s">
        <v>177</v>
      </c>
      <c r="T135" s="22" t="s">
        <v>177</v>
      </c>
      <c r="U135" s="22" t="s">
        <v>177</v>
      </c>
      <c r="V135" s="5" t="s">
        <v>177</v>
      </c>
      <c r="W135" s="22" t="s">
        <v>177</v>
      </c>
      <c r="X135" s="22" t="s">
        <v>177</v>
      </c>
      <c r="Y135" s="22" t="s">
        <v>177</v>
      </c>
      <c r="Z135" s="22" t="s">
        <v>177</v>
      </c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</row>
    <row r="136" spans="1:46" ht="21" customHeight="1" x14ac:dyDescent="0.2">
      <c r="A136" s="35" t="s">
        <v>127</v>
      </c>
      <c r="B136" s="5">
        <v>4.3</v>
      </c>
      <c r="C136" s="36"/>
      <c r="D136" s="79" t="str">
        <f t="shared" si="13"/>
        <v/>
      </c>
      <c r="E136" s="81"/>
      <c r="F136" s="36"/>
      <c r="G136" s="5">
        <v>9.1999999999999993</v>
      </c>
      <c r="H136" s="3"/>
      <c r="I136" s="74" t="str">
        <f t="shared" si="14"/>
        <v/>
      </c>
      <c r="J136" s="78"/>
      <c r="K136" s="3"/>
      <c r="L136" s="5">
        <v>14.6</v>
      </c>
      <c r="M136" s="15"/>
      <c r="N136" s="84" t="str">
        <f t="shared" si="15"/>
        <v/>
      </c>
      <c r="O136" s="89"/>
      <c r="P136" s="15"/>
      <c r="Q136" s="5" t="s">
        <v>177</v>
      </c>
      <c r="R136" s="22" t="s">
        <v>177</v>
      </c>
      <c r="S136" s="22" t="s">
        <v>177</v>
      </c>
      <c r="T136" s="22" t="s">
        <v>177</v>
      </c>
      <c r="U136" s="22" t="s">
        <v>177</v>
      </c>
      <c r="V136" s="5" t="s">
        <v>177</v>
      </c>
      <c r="W136" s="22" t="s">
        <v>177</v>
      </c>
      <c r="X136" s="22" t="s">
        <v>177</v>
      </c>
      <c r="Y136" s="22" t="s">
        <v>177</v>
      </c>
      <c r="Z136" s="22" t="s">
        <v>177</v>
      </c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</row>
    <row r="137" spans="1:46" ht="21" customHeight="1" x14ac:dyDescent="0.2">
      <c r="A137" s="35" t="s">
        <v>109</v>
      </c>
      <c r="B137" s="5">
        <v>2.2999999999999998</v>
      </c>
      <c r="C137" s="36"/>
      <c r="D137" s="79" t="str">
        <f t="shared" si="13"/>
        <v/>
      </c>
      <c r="E137" s="81"/>
      <c r="F137" s="36"/>
      <c r="G137" s="5">
        <v>9.4</v>
      </c>
      <c r="H137" s="3"/>
      <c r="I137" s="74" t="str">
        <f t="shared" si="14"/>
        <v/>
      </c>
      <c r="J137" s="78"/>
      <c r="K137" s="3"/>
      <c r="L137" s="5">
        <v>13.7</v>
      </c>
      <c r="M137" s="15"/>
      <c r="N137" s="84" t="str">
        <f t="shared" si="15"/>
        <v/>
      </c>
      <c r="O137" s="89"/>
      <c r="P137" s="15"/>
      <c r="Q137" s="5" t="s">
        <v>177</v>
      </c>
      <c r="R137" s="22" t="s">
        <v>177</v>
      </c>
      <c r="S137" s="22" t="s">
        <v>177</v>
      </c>
      <c r="T137" s="22" t="s">
        <v>177</v>
      </c>
      <c r="U137" s="22" t="s">
        <v>177</v>
      </c>
      <c r="V137" s="5" t="s">
        <v>177</v>
      </c>
      <c r="W137" s="22" t="s">
        <v>177</v>
      </c>
      <c r="X137" s="22" t="s">
        <v>177</v>
      </c>
      <c r="Y137" s="22" t="s">
        <v>177</v>
      </c>
      <c r="Z137" s="22" t="s">
        <v>177</v>
      </c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</row>
    <row r="138" spans="1:46" ht="21" customHeight="1" x14ac:dyDescent="0.2">
      <c r="A138" s="35" t="s">
        <v>129</v>
      </c>
      <c r="B138" s="5">
        <v>1.5</v>
      </c>
      <c r="C138" s="36"/>
      <c r="D138" s="79" t="str">
        <f t="shared" si="13"/>
        <v/>
      </c>
      <c r="E138" s="81"/>
      <c r="F138" s="36"/>
      <c r="G138" s="5">
        <v>6.7</v>
      </c>
      <c r="H138" s="3"/>
      <c r="I138" s="74" t="str">
        <f t="shared" si="14"/>
        <v/>
      </c>
      <c r="J138" s="78"/>
      <c r="K138" s="3"/>
      <c r="L138" s="5">
        <v>14.5</v>
      </c>
      <c r="M138" s="15"/>
      <c r="N138" s="84" t="str">
        <f t="shared" si="15"/>
        <v/>
      </c>
      <c r="O138" s="89"/>
      <c r="P138" s="15"/>
      <c r="Q138" s="5" t="s">
        <v>177</v>
      </c>
      <c r="R138" s="22" t="s">
        <v>177</v>
      </c>
      <c r="S138" s="22" t="s">
        <v>177</v>
      </c>
      <c r="T138" s="22" t="s">
        <v>177</v>
      </c>
      <c r="U138" s="22" t="s">
        <v>177</v>
      </c>
      <c r="V138" s="5" t="s">
        <v>177</v>
      </c>
      <c r="W138" s="22" t="s">
        <v>177</v>
      </c>
      <c r="X138" s="22" t="s">
        <v>177</v>
      </c>
      <c r="Y138" s="22" t="s">
        <v>177</v>
      </c>
      <c r="Z138" s="22" t="s">
        <v>177</v>
      </c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</row>
    <row r="139" spans="1:46" ht="21" customHeight="1" x14ac:dyDescent="0.2">
      <c r="A139" s="35" t="s">
        <v>142</v>
      </c>
      <c r="B139" s="5">
        <v>5.6</v>
      </c>
      <c r="C139" s="36"/>
      <c r="D139" s="79" t="str">
        <f t="shared" si="13"/>
        <v/>
      </c>
      <c r="E139" s="81"/>
      <c r="F139" s="36"/>
      <c r="G139" s="5">
        <v>9.3000000000000007</v>
      </c>
      <c r="H139" s="3"/>
      <c r="I139" s="74" t="str">
        <f t="shared" si="14"/>
        <v/>
      </c>
      <c r="J139" s="78"/>
      <c r="K139" s="3"/>
      <c r="L139" s="5">
        <v>15.3</v>
      </c>
      <c r="M139" s="15"/>
      <c r="N139" s="84" t="str">
        <f t="shared" si="15"/>
        <v/>
      </c>
      <c r="O139" s="89"/>
      <c r="P139" s="15"/>
      <c r="Q139" s="5" t="s">
        <v>177</v>
      </c>
      <c r="R139" s="22" t="s">
        <v>177</v>
      </c>
      <c r="S139" s="22" t="s">
        <v>177</v>
      </c>
      <c r="T139" s="22" t="s">
        <v>177</v>
      </c>
      <c r="U139" s="22" t="s">
        <v>177</v>
      </c>
      <c r="V139" s="5" t="s">
        <v>177</v>
      </c>
      <c r="W139" s="22" t="s">
        <v>177</v>
      </c>
      <c r="X139" s="22" t="s">
        <v>177</v>
      </c>
      <c r="Y139" s="22" t="s">
        <v>177</v>
      </c>
      <c r="Z139" s="22" t="s">
        <v>177</v>
      </c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</row>
    <row r="140" spans="1:46" ht="21" customHeight="1" x14ac:dyDescent="0.2">
      <c r="A140" s="35" t="s">
        <v>128</v>
      </c>
      <c r="B140" s="5">
        <v>4.8</v>
      </c>
      <c r="C140" s="36"/>
      <c r="D140" s="79" t="str">
        <f t="shared" si="13"/>
        <v/>
      </c>
      <c r="E140" s="81"/>
      <c r="F140" s="36"/>
      <c r="G140" s="5">
        <v>11.3</v>
      </c>
      <c r="H140" s="3"/>
      <c r="I140" s="74" t="str">
        <f t="shared" si="14"/>
        <v/>
      </c>
      <c r="J140" s="78"/>
      <c r="K140" s="3"/>
      <c r="L140" s="5">
        <v>14.5</v>
      </c>
      <c r="M140" s="15"/>
      <c r="N140" s="84" t="str">
        <f t="shared" si="15"/>
        <v/>
      </c>
      <c r="O140" s="89"/>
      <c r="P140" s="15"/>
      <c r="Q140" s="5" t="s">
        <v>177</v>
      </c>
      <c r="R140" s="22" t="s">
        <v>177</v>
      </c>
      <c r="S140" s="22" t="s">
        <v>177</v>
      </c>
      <c r="T140" s="22" t="s">
        <v>177</v>
      </c>
      <c r="U140" s="22" t="s">
        <v>177</v>
      </c>
      <c r="V140" s="5" t="s">
        <v>177</v>
      </c>
      <c r="W140" s="22" t="s">
        <v>177</v>
      </c>
      <c r="X140" s="22" t="s">
        <v>177</v>
      </c>
      <c r="Y140" s="22" t="s">
        <v>177</v>
      </c>
      <c r="Z140" s="22" t="s">
        <v>177</v>
      </c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</row>
    <row r="141" spans="1:46" ht="21" customHeight="1" x14ac:dyDescent="0.2">
      <c r="A141" s="35" t="s">
        <v>131</v>
      </c>
      <c r="B141" s="5">
        <v>3.7</v>
      </c>
      <c r="C141" s="36"/>
      <c r="D141" s="79" t="str">
        <f t="shared" ref="D141:D154" si="16">IF(C141="","",IF(AND(C141&gt;=960000,C141&lt;=999999),"V",IF(AND(C141&gt;=920000,C141&lt;=959999),"S",IF(AND(C141&gt;=880000,C141&lt;=919999),"A",IF(AND(C141&gt;=820000,C141&lt;=879999),"B",IF(AND(C141&gt;=700000,C141&lt;=819999),"C",IF(AND(C141&gt;=1,C141&lt;=699999),"F",IF(AND(C141=1000000),"φ",IF(AND(C141=0),"",C141)))))))))</f>
        <v/>
      </c>
      <c r="E141" s="81"/>
      <c r="F141" s="36"/>
      <c r="G141" s="5">
        <v>10.1</v>
      </c>
      <c r="H141" s="3"/>
      <c r="I141" s="74" t="str">
        <f t="shared" si="9"/>
        <v/>
      </c>
      <c r="J141" s="78"/>
      <c r="K141" s="3"/>
      <c r="L141" s="5">
        <v>14.7</v>
      </c>
      <c r="M141" s="15"/>
      <c r="N141" s="84" t="str">
        <f t="shared" ref="N141:N154" si="17">IF(M141="","",IF(AND(M141&gt;=960000,M141&lt;=999999),"V",IF(AND(M141&gt;=920000,M141&lt;=959999),"S",IF(AND(M141&gt;=880000,M141&lt;=919999),"A",IF(AND(M141&gt;=820000,M141&lt;=879999),"B",IF(AND(M141&gt;=700000,M141&lt;=819999),"C",IF(AND(M141&gt;=1,M141&lt;=699999),"F",IF(AND(M141=1000000),"φ",IF(AND(M141=0),"",M141)))))))))</f>
        <v/>
      </c>
      <c r="O141" s="89"/>
      <c r="P141" s="15"/>
      <c r="Q141" s="5" t="s">
        <v>177</v>
      </c>
      <c r="R141" s="22" t="s">
        <v>177</v>
      </c>
      <c r="S141" s="22" t="s">
        <v>177</v>
      </c>
      <c r="T141" s="22" t="s">
        <v>177</v>
      </c>
      <c r="U141" s="22" t="s">
        <v>177</v>
      </c>
      <c r="V141" s="5" t="s">
        <v>177</v>
      </c>
      <c r="W141" s="22" t="s">
        <v>177</v>
      </c>
      <c r="X141" s="22" t="s">
        <v>177</v>
      </c>
      <c r="Y141" s="22" t="s">
        <v>177</v>
      </c>
      <c r="Z141" s="22" t="s">
        <v>177</v>
      </c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</row>
    <row r="142" spans="1:46" ht="21" customHeight="1" x14ac:dyDescent="0.2">
      <c r="A142" s="35" t="s">
        <v>123</v>
      </c>
      <c r="B142" s="5">
        <v>4.7</v>
      </c>
      <c r="C142" s="36"/>
      <c r="D142" s="79" t="str">
        <f t="shared" ref="D142:D150" si="18">IF(C142="","",IF(AND(C142&gt;=960000,C142&lt;=999999),"V",IF(AND(C142&gt;=920000,C142&lt;=959999),"S",IF(AND(C142&gt;=880000,C142&lt;=919999),"A",IF(AND(C142&gt;=820000,C142&lt;=879999),"B",IF(AND(C142&gt;=700000,C142&lt;=819999),"C",IF(AND(C142&gt;=1,C142&lt;=699999),"F",IF(AND(C142=1000000),"φ",IF(AND(C142=0),"",C142)))))))))</f>
        <v/>
      </c>
      <c r="E142" s="81"/>
      <c r="F142" s="36"/>
      <c r="G142" s="5">
        <v>10.3</v>
      </c>
      <c r="H142" s="3"/>
      <c r="I142" s="74" t="str">
        <f t="shared" ref="I142:I150" si="19">IF(H142="","",IF(AND(H142&gt;=960000,H142&lt;=999999),"V",IF(AND(H142&gt;=920000,H142&lt;=959999),"S",IF(AND(H142&gt;=880000,H142&lt;=919999),"A",IF(AND(H142&gt;=820000,H142&lt;=879999),"B",IF(AND(H142&gt;=700000,H142&lt;=819999),"C",IF(AND(H142&gt;=1,H142&lt;=699999),"F",IF(AND(H142=1000000),"φ",IF(AND(H142=0),"",H142)))))))))</f>
        <v/>
      </c>
      <c r="J142" s="78"/>
      <c r="K142" s="3"/>
      <c r="L142" s="5">
        <v>14.5</v>
      </c>
      <c r="M142" s="15"/>
      <c r="N142" s="84" t="str">
        <f t="shared" ref="N142:N150" si="20">IF(M142="","",IF(AND(M142&gt;=960000,M142&lt;=999999),"V",IF(AND(M142&gt;=920000,M142&lt;=959999),"S",IF(AND(M142&gt;=880000,M142&lt;=919999),"A",IF(AND(M142&gt;=820000,M142&lt;=879999),"B",IF(AND(M142&gt;=700000,M142&lt;=819999),"C",IF(AND(M142&gt;=1,M142&lt;=699999),"F",IF(AND(M142=1000000),"φ",IF(AND(M142=0),"",M142)))))))))</f>
        <v/>
      </c>
      <c r="O142" s="89"/>
      <c r="P142" s="15"/>
      <c r="Q142" s="5" t="s">
        <v>177</v>
      </c>
      <c r="R142" s="22" t="s">
        <v>177</v>
      </c>
      <c r="S142" s="22" t="s">
        <v>177</v>
      </c>
      <c r="T142" s="22" t="s">
        <v>177</v>
      </c>
      <c r="U142" s="22" t="s">
        <v>177</v>
      </c>
      <c r="V142" s="5" t="s">
        <v>177</v>
      </c>
      <c r="W142" s="22" t="s">
        <v>177</v>
      </c>
      <c r="X142" s="22" t="s">
        <v>177</v>
      </c>
      <c r="Y142" s="22" t="s">
        <v>177</v>
      </c>
      <c r="Z142" s="22" t="s">
        <v>177</v>
      </c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</row>
    <row r="143" spans="1:46" ht="21" customHeight="1" x14ac:dyDescent="0.2">
      <c r="A143" s="35" t="s">
        <v>101</v>
      </c>
      <c r="B143" s="5">
        <v>4.4000000000000004</v>
      </c>
      <c r="C143" s="36"/>
      <c r="D143" s="79" t="str">
        <f t="shared" si="18"/>
        <v/>
      </c>
      <c r="E143" s="81"/>
      <c r="F143" s="36"/>
      <c r="G143" s="5">
        <v>6.9</v>
      </c>
      <c r="H143" s="3"/>
      <c r="I143" s="74" t="str">
        <f t="shared" si="19"/>
        <v/>
      </c>
      <c r="J143" s="78"/>
      <c r="K143" s="3"/>
      <c r="L143" s="5">
        <v>13.8</v>
      </c>
      <c r="M143" s="15"/>
      <c r="N143" s="84" t="str">
        <f t="shared" si="20"/>
        <v/>
      </c>
      <c r="O143" s="89"/>
      <c r="P143" s="15"/>
      <c r="Q143" s="5" t="s">
        <v>177</v>
      </c>
      <c r="R143" s="22" t="s">
        <v>177</v>
      </c>
      <c r="S143" s="22" t="s">
        <v>177</v>
      </c>
      <c r="T143" s="22" t="s">
        <v>177</v>
      </c>
      <c r="U143" s="22" t="s">
        <v>177</v>
      </c>
      <c r="V143" s="5" t="s">
        <v>177</v>
      </c>
      <c r="W143" s="22" t="s">
        <v>177</v>
      </c>
      <c r="X143" s="22" t="s">
        <v>177</v>
      </c>
      <c r="Y143" s="22" t="s">
        <v>177</v>
      </c>
      <c r="Z143" s="22" t="s">
        <v>177</v>
      </c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</row>
    <row r="144" spans="1:46" ht="21" customHeight="1" x14ac:dyDescent="0.2">
      <c r="A144" s="28" t="s">
        <v>137</v>
      </c>
      <c r="B144" s="5">
        <v>5.7</v>
      </c>
      <c r="C144" s="36"/>
      <c r="D144" s="79" t="str">
        <f t="shared" si="18"/>
        <v/>
      </c>
      <c r="E144" s="81"/>
      <c r="F144" s="36"/>
      <c r="G144" s="5">
        <v>11.8</v>
      </c>
      <c r="H144" s="3"/>
      <c r="I144" s="74" t="str">
        <f t="shared" si="19"/>
        <v/>
      </c>
      <c r="J144" s="78"/>
      <c r="K144" s="3"/>
      <c r="L144" s="5">
        <v>14.8</v>
      </c>
      <c r="M144" s="15"/>
      <c r="N144" s="84" t="str">
        <f t="shared" si="20"/>
        <v/>
      </c>
      <c r="O144" s="89"/>
      <c r="P144" s="15"/>
      <c r="Q144" s="5" t="s">
        <v>177</v>
      </c>
      <c r="R144" s="22" t="s">
        <v>177</v>
      </c>
      <c r="S144" s="22" t="s">
        <v>177</v>
      </c>
      <c r="T144" s="22" t="s">
        <v>177</v>
      </c>
      <c r="U144" s="22" t="s">
        <v>177</v>
      </c>
      <c r="V144" s="5" t="s">
        <v>177</v>
      </c>
      <c r="W144" s="22" t="s">
        <v>177</v>
      </c>
      <c r="X144" s="22" t="s">
        <v>177</v>
      </c>
      <c r="Y144" s="22" t="s">
        <v>177</v>
      </c>
      <c r="Z144" s="22" t="s">
        <v>177</v>
      </c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</row>
    <row r="145" spans="1:46" ht="21" customHeight="1" x14ac:dyDescent="0.2">
      <c r="A145" s="35" t="s">
        <v>117</v>
      </c>
      <c r="B145" s="5">
        <v>5.8</v>
      </c>
      <c r="C145" s="36"/>
      <c r="D145" s="79" t="str">
        <f t="shared" si="18"/>
        <v/>
      </c>
      <c r="E145" s="81"/>
      <c r="F145" s="36"/>
      <c r="G145" s="5">
        <v>10.5</v>
      </c>
      <c r="H145" s="3"/>
      <c r="I145" s="74" t="str">
        <f t="shared" si="19"/>
        <v/>
      </c>
      <c r="J145" s="78"/>
      <c r="K145" s="3"/>
      <c r="L145" s="5">
        <v>14.4</v>
      </c>
      <c r="M145" s="15"/>
      <c r="N145" s="84" t="str">
        <f t="shared" si="20"/>
        <v/>
      </c>
      <c r="O145" s="89"/>
      <c r="P145" s="15"/>
      <c r="Q145" s="5" t="s">
        <v>177</v>
      </c>
      <c r="R145" s="22" t="s">
        <v>177</v>
      </c>
      <c r="S145" s="22" t="s">
        <v>177</v>
      </c>
      <c r="T145" s="22" t="s">
        <v>177</v>
      </c>
      <c r="U145" s="22" t="s">
        <v>177</v>
      </c>
      <c r="V145" s="5" t="s">
        <v>177</v>
      </c>
      <c r="W145" s="22" t="s">
        <v>177</v>
      </c>
      <c r="X145" s="22" t="s">
        <v>177</v>
      </c>
      <c r="Y145" s="22" t="s">
        <v>177</v>
      </c>
      <c r="Z145" s="22" t="s">
        <v>177</v>
      </c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</row>
    <row r="146" spans="1:46" ht="21" customHeight="1" x14ac:dyDescent="0.2">
      <c r="A146" s="28" t="s">
        <v>140</v>
      </c>
      <c r="B146" s="5">
        <v>6.4</v>
      </c>
      <c r="C146" s="36"/>
      <c r="D146" s="79" t="str">
        <f t="shared" si="18"/>
        <v/>
      </c>
      <c r="E146" s="81"/>
      <c r="F146" s="36"/>
      <c r="G146" s="5">
        <v>11.7</v>
      </c>
      <c r="H146" s="3"/>
      <c r="I146" s="74" t="str">
        <f t="shared" si="19"/>
        <v/>
      </c>
      <c r="J146" s="78"/>
      <c r="K146" s="3"/>
      <c r="L146" s="5">
        <v>15.3</v>
      </c>
      <c r="M146" s="15"/>
      <c r="N146" s="84" t="str">
        <f t="shared" si="20"/>
        <v/>
      </c>
      <c r="O146" s="89"/>
      <c r="P146" s="15"/>
      <c r="Q146" s="5" t="s">
        <v>177</v>
      </c>
      <c r="R146" s="22" t="s">
        <v>177</v>
      </c>
      <c r="S146" s="22" t="s">
        <v>177</v>
      </c>
      <c r="T146" s="22" t="s">
        <v>177</v>
      </c>
      <c r="U146" s="22" t="s">
        <v>177</v>
      </c>
      <c r="V146" s="5" t="s">
        <v>177</v>
      </c>
      <c r="W146" s="22" t="s">
        <v>177</v>
      </c>
      <c r="X146" s="22" t="s">
        <v>177</v>
      </c>
      <c r="Y146" s="22" t="s">
        <v>177</v>
      </c>
      <c r="Z146" s="22" t="s">
        <v>177</v>
      </c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</row>
    <row r="147" spans="1:46" ht="21" customHeight="1" x14ac:dyDescent="0.2">
      <c r="A147" s="35" t="s">
        <v>104</v>
      </c>
      <c r="B147" s="5">
        <v>3.5</v>
      </c>
      <c r="C147" s="36"/>
      <c r="D147" s="79" t="str">
        <f t="shared" si="18"/>
        <v/>
      </c>
      <c r="E147" s="81"/>
      <c r="F147" s="36"/>
      <c r="G147" s="5">
        <v>9.3000000000000007</v>
      </c>
      <c r="H147" s="3"/>
      <c r="I147" s="74" t="str">
        <f t="shared" si="19"/>
        <v/>
      </c>
      <c r="J147" s="78"/>
      <c r="K147" s="3"/>
      <c r="L147" s="5">
        <v>13.4</v>
      </c>
      <c r="M147" s="15"/>
      <c r="N147" s="84" t="str">
        <f t="shared" si="20"/>
        <v/>
      </c>
      <c r="O147" s="89"/>
      <c r="P147" s="15"/>
      <c r="Q147" s="5" t="s">
        <v>177</v>
      </c>
      <c r="R147" s="22" t="s">
        <v>177</v>
      </c>
      <c r="S147" s="22" t="s">
        <v>177</v>
      </c>
      <c r="T147" s="22" t="s">
        <v>177</v>
      </c>
      <c r="U147" s="22" t="s">
        <v>177</v>
      </c>
      <c r="V147" s="5" t="s">
        <v>177</v>
      </c>
      <c r="W147" s="22" t="s">
        <v>177</v>
      </c>
      <c r="X147" s="22" t="s">
        <v>177</v>
      </c>
      <c r="Y147" s="22" t="s">
        <v>177</v>
      </c>
      <c r="Z147" s="22" t="s">
        <v>177</v>
      </c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</row>
    <row r="148" spans="1:46" ht="21" customHeight="1" x14ac:dyDescent="0.2">
      <c r="A148" s="31" t="s">
        <v>116</v>
      </c>
      <c r="B148" s="5">
        <v>4.7</v>
      </c>
      <c r="C148" s="36"/>
      <c r="D148" s="79" t="str">
        <f t="shared" si="18"/>
        <v/>
      </c>
      <c r="E148" s="81"/>
      <c r="F148" s="36"/>
      <c r="G148" s="5">
        <v>11.3</v>
      </c>
      <c r="H148" s="3"/>
      <c r="I148" s="74" t="str">
        <f t="shared" si="19"/>
        <v/>
      </c>
      <c r="J148" s="78"/>
      <c r="K148" s="3"/>
      <c r="L148" s="5">
        <v>14.4</v>
      </c>
      <c r="M148" s="15"/>
      <c r="N148" s="84" t="str">
        <f t="shared" si="20"/>
        <v/>
      </c>
      <c r="O148" s="89"/>
      <c r="P148" s="15"/>
      <c r="Q148" s="5" t="s">
        <v>177</v>
      </c>
      <c r="R148" s="22" t="s">
        <v>177</v>
      </c>
      <c r="S148" s="22" t="s">
        <v>177</v>
      </c>
      <c r="T148" s="22" t="s">
        <v>177</v>
      </c>
      <c r="U148" s="22" t="s">
        <v>177</v>
      </c>
      <c r="V148" s="5" t="s">
        <v>177</v>
      </c>
      <c r="W148" s="22" t="s">
        <v>177</v>
      </c>
      <c r="X148" s="22" t="s">
        <v>177</v>
      </c>
      <c r="Y148" s="22" t="s">
        <v>177</v>
      </c>
      <c r="Z148" s="22" t="s">
        <v>177</v>
      </c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</row>
    <row r="149" spans="1:46" ht="21" customHeight="1" x14ac:dyDescent="0.2">
      <c r="A149" s="35" t="s">
        <v>103</v>
      </c>
      <c r="B149" s="5">
        <v>3.2</v>
      </c>
      <c r="C149" s="36"/>
      <c r="D149" s="79" t="str">
        <f t="shared" si="18"/>
        <v/>
      </c>
      <c r="E149" s="81"/>
      <c r="F149" s="36"/>
      <c r="G149" s="5">
        <v>9.6</v>
      </c>
      <c r="H149" s="3"/>
      <c r="I149" s="74" t="str">
        <f t="shared" si="19"/>
        <v/>
      </c>
      <c r="J149" s="78"/>
      <c r="K149" s="3"/>
      <c r="L149" s="5">
        <v>13.4</v>
      </c>
      <c r="M149" s="15"/>
      <c r="N149" s="84" t="str">
        <f t="shared" si="20"/>
        <v/>
      </c>
      <c r="O149" s="89"/>
      <c r="P149" s="15"/>
      <c r="Q149" s="5" t="s">
        <v>177</v>
      </c>
      <c r="R149" s="22" t="s">
        <v>177</v>
      </c>
      <c r="S149" s="22" t="s">
        <v>177</v>
      </c>
      <c r="T149" s="22" t="s">
        <v>177</v>
      </c>
      <c r="U149" s="22" t="s">
        <v>177</v>
      </c>
      <c r="V149" s="5" t="s">
        <v>177</v>
      </c>
      <c r="W149" s="22" t="s">
        <v>177</v>
      </c>
      <c r="X149" s="22" t="s">
        <v>177</v>
      </c>
      <c r="Y149" s="22" t="s">
        <v>177</v>
      </c>
      <c r="Z149" s="22" t="s">
        <v>177</v>
      </c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</row>
    <row r="150" spans="1:46" ht="21" customHeight="1" x14ac:dyDescent="0.2">
      <c r="A150" s="35" t="s">
        <v>102</v>
      </c>
      <c r="B150" s="5">
        <v>2.8</v>
      </c>
      <c r="C150" s="36"/>
      <c r="D150" s="79" t="str">
        <f t="shared" si="18"/>
        <v/>
      </c>
      <c r="E150" s="81"/>
      <c r="F150" s="36"/>
      <c r="G150" s="5">
        <v>7.7</v>
      </c>
      <c r="H150" s="3"/>
      <c r="I150" s="74" t="str">
        <f t="shared" si="19"/>
        <v/>
      </c>
      <c r="J150" s="78"/>
      <c r="K150" s="3"/>
      <c r="L150" s="5">
        <v>13.2</v>
      </c>
      <c r="M150" s="15"/>
      <c r="N150" s="84" t="str">
        <f t="shared" si="20"/>
        <v/>
      </c>
      <c r="O150" s="89"/>
      <c r="P150" s="15"/>
      <c r="Q150" s="5" t="s">
        <v>177</v>
      </c>
      <c r="R150" s="22" t="s">
        <v>177</v>
      </c>
      <c r="S150" s="22" t="s">
        <v>177</v>
      </c>
      <c r="T150" s="22" t="s">
        <v>177</v>
      </c>
      <c r="U150" s="22" t="s">
        <v>177</v>
      </c>
      <c r="V150" s="5" t="s">
        <v>177</v>
      </c>
      <c r="W150" s="22" t="s">
        <v>177</v>
      </c>
      <c r="X150" s="22" t="s">
        <v>177</v>
      </c>
      <c r="Y150" s="22" t="s">
        <v>177</v>
      </c>
      <c r="Z150" s="22" t="s">
        <v>177</v>
      </c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</row>
    <row r="151" spans="1:46" ht="21" customHeight="1" x14ac:dyDescent="0.2">
      <c r="A151" s="35" t="s">
        <v>141</v>
      </c>
      <c r="B151" s="5">
        <v>4.3</v>
      </c>
      <c r="C151" s="36"/>
      <c r="D151" s="79" t="str">
        <f t="shared" si="16"/>
        <v/>
      </c>
      <c r="E151" s="81"/>
      <c r="F151" s="36"/>
      <c r="G151" s="5">
        <v>11.4</v>
      </c>
      <c r="H151" s="3"/>
      <c r="I151" s="74" t="str">
        <f t="shared" ref="I151:I154" si="21">IF(H151="","",IF(AND(H151&gt;=960000,H151&lt;=999999),"V",IF(AND(H151&gt;=920000,H151&lt;=959999),"S",IF(AND(H151&gt;=880000,H151&lt;=919999),"A",IF(AND(H151&gt;=820000,H151&lt;=879999),"B",IF(AND(H151&gt;=700000,H151&lt;=819999),"C",IF(AND(H151&gt;=1,H151&lt;=699999),"F",IF(AND(H151=1000000),"φ",IF(AND(H151=0),"",H151)))))))))</f>
        <v/>
      </c>
      <c r="J151" s="78"/>
      <c r="K151" s="3"/>
      <c r="L151" s="5">
        <v>15.2</v>
      </c>
      <c r="M151" s="15"/>
      <c r="N151" s="84" t="str">
        <f t="shared" si="17"/>
        <v/>
      </c>
      <c r="O151" s="89"/>
      <c r="P151" s="15"/>
      <c r="Q151" s="5" t="s">
        <v>177</v>
      </c>
      <c r="R151" s="22" t="s">
        <v>177</v>
      </c>
      <c r="S151" s="22" t="s">
        <v>177</v>
      </c>
      <c r="T151" s="22" t="s">
        <v>177</v>
      </c>
      <c r="U151" s="22" t="s">
        <v>177</v>
      </c>
      <c r="V151" s="5" t="s">
        <v>177</v>
      </c>
      <c r="W151" s="22" t="s">
        <v>177</v>
      </c>
      <c r="X151" s="22" t="s">
        <v>177</v>
      </c>
      <c r="Y151" s="22" t="s">
        <v>177</v>
      </c>
      <c r="Z151" s="22" t="s">
        <v>177</v>
      </c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</row>
    <row r="152" spans="1:46" ht="21" customHeight="1" x14ac:dyDescent="0.2">
      <c r="A152" s="35" t="s">
        <v>143</v>
      </c>
      <c r="B152" s="5">
        <v>1.7</v>
      </c>
      <c r="C152" s="36"/>
      <c r="D152" s="79" t="str">
        <f>IF(C152="","",IF(AND(C152&gt;=960000,C152&lt;=999999),"V",IF(AND(C152&gt;=920000,C152&lt;=959999),"S",IF(AND(C152&gt;=880000,C152&lt;=919999),"A",IF(AND(C152&gt;=820000,C152&lt;=879999),"B",IF(AND(C152&gt;=700000,C152&lt;=819999),"C",IF(AND(C152&gt;=1,C152&lt;=699999),"F",IF(AND(C152=1000000),"φ",IF(AND(C152=0),"",C152)))))))))</f>
        <v/>
      </c>
      <c r="E152" s="81"/>
      <c r="F152" s="36"/>
      <c r="G152" s="5">
        <v>11.9</v>
      </c>
      <c r="H152" s="3"/>
      <c r="I152" s="74" t="str">
        <f>IF(H152="","",IF(AND(H152&gt;=960000,H152&lt;=999999),"V",IF(AND(H152&gt;=920000,H152&lt;=959999),"S",IF(AND(H152&gt;=880000,H152&lt;=919999),"A",IF(AND(H152&gt;=820000,H152&lt;=879999),"B",IF(AND(H152&gt;=700000,H152&lt;=819999),"C",IF(AND(H152&gt;=1,H152&lt;=699999),"F",IF(AND(H152=1000000),"φ",IF(AND(H152=0),"",H152)))))))))</f>
        <v/>
      </c>
      <c r="J152" s="78"/>
      <c r="K152" s="3"/>
      <c r="L152" s="5">
        <v>15.4</v>
      </c>
      <c r="M152" s="15"/>
      <c r="N152" s="84" t="str">
        <f>IF(M152="","",IF(AND(M152&gt;=960000,M152&lt;=999999),"V",IF(AND(M152&gt;=920000,M152&lt;=959999),"S",IF(AND(M152&gt;=880000,M152&lt;=919999),"A",IF(AND(M152&gt;=820000,M152&lt;=879999),"B",IF(AND(M152&gt;=700000,M152&lt;=819999),"C",IF(AND(M152&gt;=1,M152&lt;=699999),"F",IF(AND(M152=1000000),"φ",IF(AND(M152=0),"",M152)))))))))</f>
        <v/>
      </c>
      <c r="O152" s="89"/>
      <c r="P152" s="15"/>
      <c r="Q152" s="5" t="s">
        <v>177</v>
      </c>
      <c r="R152" s="22" t="s">
        <v>177</v>
      </c>
      <c r="S152" s="22" t="s">
        <v>177</v>
      </c>
      <c r="T152" s="22" t="s">
        <v>177</v>
      </c>
      <c r="U152" s="22" t="s">
        <v>177</v>
      </c>
      <c r="V152" s="5" t="s">
        <v>177</v>
      </c>
      <c r="W152" s="22" t="s">
        <v>177</v>
      </c>
      <c r="X152" s="22" t="s">
        <v>177</v>
      </c>
      <c r="Y152" s="22" t="s">
        <v>177</v>
      </c>
      <c r="Z152" s="22" t="s">
        <v>177</v>
      </c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</row>
    <row r="153" spans="1:46" ht="21" customHeight="1" x14ac:dyDescent="0.2">
      <c r="A153" s="35" t="s">
        <v>94</v>
      </c>
      <c r="B153" s="5">
        <v>5.5</v>
      </c>
      <c r="C153" s="36"/>
      <c r="D153" s="79" t="str">
        <f>IF(C153="","",IF(AND(C153&gt;=960000,C153&lt;=999999),"V",IF(AND(C153&gt;=920000,C153&lt;=959999),"S",IF(AND(C153&gt;=880000,C153&lt;=919999),"A",IF(AND(C153&gt;=820000,C153&lt;=879999),"B",IF(AND(C153&gt;=700000,C153&lt;=819999),"C",IF(AND(C153&gt;=1,C153&lt;=699999),"F",IF(AND(C153=1000000),"φ",IF(AND(C153=0),"",C153)))))))))</f>
        <v/>
      </c>
      <c r="E153" s="81"/>
      <c r="F153" s="36"/>
      <c r="G153" s="5">
        <v>9.6999999999999993</v>
      </c>
      <c r="H153" s="3"/>
      <c r="I153" s="74" t="str">
        <f>IF(H153="","",IF(AND(H153&gt;=960000,H153&lt;=999999),"V",IF(AND(H153&gt;=920000,H153&lt;=959999),"S",IF(AND(H153&gt;=880000,H153&lt;=919999),"A",IF(AND(H153&gt;=820000,H153&lt;=879999),"B",IF(AND(H153&gt;=700000,H153&lt;=819999),"C",IF(AND(H153&gt;=1,H153&lt;=699999),"F",IF(AND(H153=1000000),"φ",IF(AND(H153=0),"",H153)))))))))</f>
        <v/>
      </c>
      <c r="J153" s="78"/>
      <c r="K153" s="3"/>
      <c r="L153" s="5">
        <v>12.1</v>
      </c>
      <c r="M153" s="15"/>
      <c r="N153" s="84" t="str">
        <f>IF(M153="","",IF(AND(M153&gt;=960000,M153&lt;=999999),"V",IF(AND(M153&gt;=920000,M153&lt;=959999),"S",IF(AND(M153&gt;=880000,M153&lt;=919999),"A",IF(AND(M153&gt;=820000,M153&lt;=879999),"B",IF(AND(M153&gt;=700000,M153&lt;=819999),"C",IF(AND(M153&gt;=1,M153&lt;=699999),"F",IF(AND(M153=1000000),"φ",IF(AND(M153=0),"",M153)))))))))</f>
        <v/>
      </c>
      <c r="O153" s="89"/>
      <c r="P153" s="15"/>
      <c r="Q153" s="5" t="s">
        <v>177</v>
      </c>
      <c r="R153" s="22" t="s">
        <v>177</v>
      </c>
      <c r="S153" s="22" t="s">
        <v>177</v>
      </c>
      <c r="T153" s="22" t="s">
        <v>177</v>
      </c>
      <c r="U153" s="22" t="s">
        <v>177</v>
      </c>
      <c r="V153" s="5" t="s">
        <v>177</v>
      </c>
      <c r="W153" s="22" t="s">
        <v>177</v>
      </c>
      <c r="X153" s="22" t="s">
        <v>177</v>
      </c>
      <c r="Y153" s="22" t="s">
        <v>177</v>
      </c>
      <c r="Z153" s="22" t="s">
        <v>177</v>
      </c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</row>
    <row r="154" spans="1:46" ht="21" customHeight="1" x14ac:dyDescent="0.2">
      <c r="A154" s="35" t="s">
        <v>144</v>
      </c>
      <c r="B154" s="5">
        <v>5.7</v>
      </c>
      <c r="C154" s="36"/>
      <c r="D154" s="79" t="str">
        <f t="shared" si="16"/>
        <v/>
      </c>
      <c r="E154" s="81"/>
      <c r="F154" s="36"/>
      <c r="G154" s="5">
        <v>12.4</v>
      </c>
      <c r="H154" s="3"/>
      <c r="I154" s="74" t="str">
        <f t="shared" si="21"/>
        <v/>
      </c>
      <c r="J154" s="78"/>
      <c r="K154" s="3"/>
      <c r="L154" s="5">
        <v>15.4</v>
      </c>
      <c r="M154" s="15"/>
      <c r="N154" s="84" t="str">
        <f t="shared" si="17"/>
        <v/>
      </c>
      <c r="O154" s="89"/>
      <c r="P154" s="15"/>
      <c r="Q154" s="5" t="s">
        <v>177</v>
      </c>
      <c r="R154" s="22" t="s">
        <v>177</v>
      </c>
      <c r="S154" s="22" t="s">
        <v>177</v>
      </c>
      <c r="T154" s="22" t="s">
        <v>177</v>
      </c>
      <c r="U154" s="22" t="s">
        <v>177</v>
      </c>
      <c r="V154" s="5" t="s">
        <v>177</v>
      </c>
      <c r="W154" s="22" t="s">
        <v>177</v>
      </c>
      <c r="X154" s="22" t="s">
        <v>177</v>
      </c>
      <c r="Y154" s="22" t="s">
        <v>177</v>
      </c>
      <c r="Z154" s="22" t="s">
        <v>177</v>
      </c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</row>
    <row r="155" spans="1:46" ht="21" customHeight="1" x14ac:dyDescent="0.2">
      <c r="A155" s="35" t="s">
        <v>133</v>
      </c>
      <c r="B155" s="5">
        <v>3.6</v>
      </c>
      <c r="C155" s="36"/>
      <c r="D155" s="79" t="str">
        <f t="shared" ref="D155:D163" si="22">IF(C155="","",IF(AND(C155&gt;=960000,C155&lt;=999999),"V",IF(AND(C155&gt;=920000,C155&lt;=959999),"S",IF(AND(C155&gt;=880000,C155&lt;=919999),"A",IF(AND(C155&gt;=820000,C155&lt;=879999),"B",IF(AND(C155&gt;=700000,C155&lt;=819999),"C",IF(AND(C155&gt;=1,C155&lt;=699999),"F",IF(AND(C155=1000000),"φ",IF(AND(C155=0),"",C155)))))))))</f>
        <v/>
      </c>
      <c r="E155" s="81"/>
      <c r="F155" s="36"/>
      <c r="G155" s="5">
        <v>11.3</v>
      </c>
      <c r="H155" s="3"/>
      <c r="I155" s="74" t="str">
        <f t="shared" ref="I155:I163" si="23">IF(H155="","",IF(AND(H155&gt;=960000,H155&lt;=999999),"V",IF(AND(H155&gt;=920000,H155&lt;=959999),"S",IF(AND(H155&gt;=880000,H155&lt;=919999),"A",IF(AND(H155&gt;=820000,H155&lt;=879999),"B",IF(AND(H155&gt;=700000,H155&lt;=819999),"C",IF(AND(H155&gt;=1,H155&lt;=699999),"F",IF(AND(H155=1000000),"φ",IF(AND(H155=0),"",H155)))))))))</f>
        <v/>
      </c>
      <c r="J155" s="78"/>
      <c r="K155" s="3"/>
      <c r="L155" s="5">
        <v>14.7</v>
      </c>
      <c r="M155" s="15"/>
      <c r="N155" s="84" t="str">
        <f t="shared" ref="N155:N163" si="24">IF(M155="","",IF(AND(M155&gt;=960000,M155&lt;=999999),"V",IF(AND(M155&gt;=920000,M155&lt;=959999),"S",IF(AND(M155&gt;=880000,M155&lt;=919999),"A",IF(AND(M155&gt;=820000,M155&lt;=879999),"B",IF(AND(M155&gt;=700000,M155&lt;=819999),"C",IF(AND(M155&gt;=1,M155&lt;=699999),"F",IF(AND(M155=1000000),"φ",IF(AND(M155=0),"",M155)))))))))</f>
        <v/>
      </c>
      <c r="O155" s="89"/>
      <c r="P155" s="15"/>
      <c r="Q155" s="5" t="s">
        <v>177</v>
      </c>
      <c r="R155" s="22" t="s">
        <v>177</v>
      </c>
      <c r="S155" s="22" t="s">
        <v>177</v>
      </c>
      <c r="T155" s="22" t="s">
        <v>177</v>
      </c>
      <c r="U155" s="22" t="s">
        <v>177</v>
      </c>
      <c r="V155" s="5" t="s">
        <v>177</v>
      </c>
      <c r="W155" s="22" t="s">
        <v>177</v>
      </c>
      <c r="X155" s="22" t="s">
        <v>177</v>
      </c>
      <c r="Y155" s="22" t="s">
        <v>177</v>
      </c>
      <c r="Z155" s="22" t="s">
        <v>177</v>
      </c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</row>
    <row r="156" spans="1:46" ht="21" customHeight="1" x14ac:dyDescent="0.2">
      <c r="A156" s="35" t="s">
        <v>145</v>
      </c>
      <c r="B156" s="5">
        <v>4.0999999999999996</v>
      </c>
      <c r="C156" s="36"/>
      <c r="D156" s="79" t="str">
        <f t="shared" si="22"/>
        <v/>
      </c>
      <c r="E156" s="81"/>
      <c r="F156" s="36"/>
      <c r="G156" s="5">
        <v>10.199999999999999</v>
      </c>
      <c r="H156" s="3"/>
      <c r="I156" s="74" t="str">
        <f t="shared" si="23"/>
        <v/>
      </c>
      <c r="J156" s="78"/>
      <c r="K156" s="3"/>
      <c r="L156" s="5">
        <v>15.5</v>
      </c>
      <c r="M156" s="15"/>
      <c r="N156" s="84" t="str">
        <f t="shared" si="24"/>
        <v/>
      </c>
      <c r="O156" s="89"/>
      <c r="P156" s="15"/>
      <c r="Q156" s="5" t="s">
        <v>177</v>
      </c>
      <c r="R156" s="22" t="s">
        <v>177</v>
      </c>
      <c r="S156" s="22" t="s">
        <v>177</v>
      </c>
      <c r="T156" s="22" t="s">
        <v>177</v>
      </c>
      <c r="U156" s="22" t="s">
        <v>177</v>
      </c>
      <c r="V156" s="5" t="s">
        <v>177</v>
      </c>
      <c r="W156" s="22" t="s">
        <v>177</v>
      </c>
      <c r="X156" s="22" t="s">
        <v>177</v>
      </c>
      <c r="Y156" s="22" t="s">
        <v>177</v>
      </c>
      <c r="Z156" s="22" t="s">
        <v>177</v>
      </c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</row>
    <row r="157" spans="1:46" ht="21" customHeight="1" x14ac:dyDescent="0.2">
      <c r="A157" s="28" t="s">
        <v>126</v>
      </c>
      <c r="B157" s="5">
        <v>4.3</v>
      </c>
      <c r="C157" s="36"/>
      <c r="D157" s="79" t="str">
        <f t="shared" si="22"/>
        <v/>
      </c>
      <c r="E157" s="81"/>
      <c r="F157" s="36"/>
      <c r="G157" s="5" t="s">
        <v>165</v>
      </c>
      <c r="H157" s="3"/>
      <c r="I157" s="74" t="str">
        <f t="shared" si="23"/>
        <v/>
      </c>
      <c r="J157" s="78"/>
      <c r="K157" s="3"/>
      <c r="L157" s="5">
        <v>14.5</v>
      </c>
      <c r="M157" s="15"/>
      <c r="N157" s="84" t="str">
        <f t="shared" si="24"/>
        <v/>
      </c>
      <c r="O157" s="89"/>
      <c r="P157" s="15"/>
      <c r="Q157" s="5" t="s">
        <v>177</v>
      </c>
      <c r="R157" s="22" t="s">
        <v>177</v>
      </c>
      <c r="S157" s="22" t="s">
        <v>177</v>
      </c>
      <c r="T157" s="22" t="s">
        <v>177</v>
      </c>
      <c r="U157" s="22" t="s">
        <v>177</v>
      </c>
      <c r="V157" s="5" t="s">
        <v>177</v>
      </c>
      <c r="W157" s="22" t="s">
        <v>177</v>
      </c>
      <c r="X157" s="22" t="s">
        <v>177</v>
      </c>
      <c r="Y157" s="22" t="s">
        <v>177</v>
      </c>
      <c r="Z157" s="22" t="s">
        <v>177</v>
      </c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</row>
    <row r="158" spans="1:46" ht="21" customHeight="1" x14ac:dyDescent="0.2">
      <c r="A158" s="35" t="s">
        <v>149</v>
      </c>
      <c r="B158" s="5">
        <v>5.2</v>
      </c>
      <c r="C158" s="36"/>
      <c r="D158" s="79" t="str">
        <f t="shared" si="22"/>
        <v/>
      </c>
      <c r="E158" s="81"/>
      <c r="F158" s="36"/>
      <c r="G158" s="5">
        <v>9.8000000000000007</v>
      </c>
      <c r="H158" s="3"/>
      <c r="I158" s="74" t="str">
        <f t="shared" si="23"/>
        <v/>
      </c>
      <c r="J158" s="78"/>
      <c r="K158" s="3"/>
      <c r="L158" s="5">
        <v>13.2</v>
      </c>
      <c r="M158" s="15"/>
      <c r="N158" s="84" t="str">
        <f t="shared" si="24"/>
        <v/>
      </c>
      <c r="O158" s="89"/>
      <c r="P158" s="15"/>
      <c r="Q158" s="5" t="s">
        <v>177</v>
      </c>
      <c r="R158" s="22" t="s">
        <v>177</v>
      </c>
      <c r="S158" s="22" t="s">
        <v>177</v>
      </c>
      <c r="T158" s="22" t="s">
        <v>177</v>
      </c>
      <c r="U158" s="22" t="s">
        <v>177</v>
      </c>
      <c r="V158" s="5" t="s">
        <v>177</v>
      </c>
      <c r="W158" s="22" t="s">
        <v>177</v>
      </c>
      <c r="X158" s="22" t="s">
        <v>177</v>
      </c>
      <c r="Y158" s="22" t="s">
        <v>177</v>
      </c>
      <c r="Z158" s="22" t="s">
        <v>177</v>
      </c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</row>
    <row r="159" spans="1:46" ht="21" customHeight="1" x14ac:dyDescent="0.2">
      <c r="A159" s="35" t="s">
        <v>150</v>
      </c>
      <c r="B159" s="5">
        <v>3.2</v>
      </c>
      <c r="C159" s="36"/>
      <c r="D159" s="79" t="str">
        <f t="shared" si="22"/>
        <v/>
      </c>
      <c r="E159" s="81"/>
      <c r="F159" s="36"/>
      <c r="G159" s="5">
        <v>7.6</v>
      </c>
      <c r="H159" s="3"/>
      <c r="I159" s="74" t="str">
        <f t="shared" si="23"/>
        <v/>
      </c>
      <c r="J159" s="78"/>
      <c r="K159" s="3"/>
      <c r="L159" s="5">
        <v>13.3</v>
      </c>
      <c r="M159" s="15"/>
      <c r="N159" s="84" t="str">
        <f t="shared" si="24"/>
        <v/>
      </c>
      <c r="O159" s="89"/>
      <c r="P159" s="15"/>
      <c r="Q159" s="5" t="s">
        <v>177</v>
      </c>
      <c r="R159" s="22" t="s">
        <v>177</v>
      </c>
      <c r="S159" s="22" t="s">
        <v>177</v>
      </c>
      <c r="T159" s="22" t="s">
        <v>177</v>
      </c>
      <c r="U159" s="22" t="s">
        <v>177</v>
      </c>
      <c r="V159" s="5" t="s">
        <v>177</v>
      </c>
      <c r="W159" s="22" t="s">
        <v>177</v>
      </c>
      <c r="X159" s="22" t="s">
        <v>177</v>
      </c>
      <c r="Y159" s="22" t="s">
        <v>177</v>
      </c>
      <c r="Z159" s="22" t="s">
        <v>177</v>
      </c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</row>
    <row r="160" spans="1:46" ht="21" customHeight="1" x14ac:dyDescent="0.2">
      <c r="A160" s="35">
        <v>996</v>
      </c>
      <c r="B160" s="5">
        <v>3.8</v>
      </c>
      <c r="C160" s="36"/>
      <c r="D160" s="79" t="str">
        <f t="shared" si="22"/>
        <v/>
      </c>
      <c r="E160" s="81"/>
      <c r="F160" s="36"/>
      <c r="G160" s="5">
        <v>8.3000000000000007</v>
      </c>
      <c r="H160" s="3"/>
      <c r="I160" s="74" t="str">
        <f t="shared" si="23"/>
        <v/>
      </c>
      <c r="J160" s="78"/>
      <c r="K160" s="3"/>
      <c r="L160" s="5">
        <v>14.5</v>
      </c>
      <c r="M160" s="15"/>
      <c r="N160" s="84" t="str">
        <f t="shared" si="24"/>
        <v/>
      </c>
      <c r="O160" s="89"/>
      <c r="P160" s="15"/>
      <c r="Q160" s="5" t="s">
        <v>177</v>
      </c>
      <c r="R160" s="22" t="s">
        <v>177</v>
      </c>
      <c r="S160" s="22" t="s">
        <v>177</v>
      </c>
      <c r="T160" s="22" t="s">
        <v>177</v>
      </c>
      <c r="U160" s="22" t="s">
        <v>177</v>
      </c>
      <c r="V160" s="5" t="s">
        <v>177</v>
      </c>
      <c r="W160" s="22" t="s">
        <v>177</v>
      </c>
      <c r="X160" s="22" t="s">
        <v>177</v>
      </c>
      <c r="Y160" s="22" t="s">
        <v>177</v>
      </c>
      <c r="Z160" s="22" t="s">
        <v>177</v>
      </c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</row>
    <row r="161" spans="1:46" ht="21" customHeight="1" x14ac:dyDescent="0.2">
      <c r="A161" s="35" t="s">
        <v>151</v>
      </c>
      <c r="B161" s="5">
        <v>5.3</v>
      </c>
      <c r="C161" s="36"/>
      <c r="D161" s="79" t="str">
        <f t="shared" si="22"/>
        <v/>
      </c>
      <c r="E161" s="81"/>
      <c r="F161" s="36"/>
      <c r="G161" s="5">
        <v>11.7</v>
      </c>
      <c r="H161" s="3"/>
      <c r="I161" s="74" t="str">
        <f t="shared" si="23"/>
        <v/>
      </c>
      <c r="J161" s="78"/>
      <c r="K161" s="3"/>
      <c r="L161" s="5">
        <v>14.6</v>
      </c>
      <c r="M161" s="15"/>
      <c r="N161" s="84" t="str">
        <f t="shared" si="24"/>
        <v/>
      </c>
      <c r="O161" s="89"/>
      <c r="P161" s="15"/>
      <c r="Q161" s="5" t="s">
        <v>177</v>
      </c>
      <c r="R161" s="22" t="s">
        <v>177</v>
      </c>
      <c r="S161" s="22" t="s">
        <v>177</v>
      </c>
      <c r="T161" s="22" t="s">
        <v>177</v>
      </c>
      <c r="U161" s="22" t="s">
        <v>177</v>
      </c>
      <c r="V161" s="5" t="s">
        <v>177</v>
      </c>
      <c r="W161" s="22" t="s">
        <v>177</v>
      </c>
      <c r="X161" s="22" t="s">
        <v>177</v>
      </c>
      <c r="Y161" s="22" t="s">
        <v>177</v>
      </c>
      <c r="Z161" s="22" t="s">
        <v>177</v>
      </c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</row>
    <row r="162" spans="1:46" ht="21" customHeight="1" x14ac:dyDescent="0.2">
      <c r="A162" s="35" t="s">
        <v>152</v>
      </c>
      <c r="B162" s="5">
        <v>5.9</v>
      </c>
      <c r="C162" s="36"/>
      <c r="D162" s="79" t="str">
        <f t="shared" si="22"/>
        <v/>
      </c>
      <c r="E162" s="81"/>
      <c r="F162" s="36"/>
      <c r="G162" s="5">
        <v>9.3000000000000007</v>
      </c>
      <c r="H162" s="3"/>
      <c r="I162" s="74" t="str">
        <f t="shared" si="23"/>
        <v/>
      </c>
      <c r="J162" s="78"/>
      <c r="K162" s="3"/>
      <c r="L162" s="5">
        <v>14.4</v>
      </c>
      <c r="M162" s="15"/>
      <c r="N162" s="84" t="str">
        <f t="shared" si="24"/>
        <v/>
      </c>
      <c r="O162" s="89"/>
      <c r="P162" s="15"/>
      <c r="Q162" s="5" t="s">
        <v>177</v>
      </c>
      <c r="R162" s="22" t="s">
        <v>177</v>
      </c>
      <c r="S162" s="22" t="s">
        <v>177</v>
      </c>
      <c r="T162" s="22" t="s">
        <v>177</v>
      </c>
      <c r="U162" s="22" t="s">
        <v>177</v>
      </c>
      <c r="V162" s="5" t="s">
        <v>177</v>
      </c>
      <c r="W162" s="22" t="s">
        <v>177</v>
      </c>
      <c r="X162" s="22" t="s">
        <v>177</v>
      </c>
      <c r="Y162" s="22" t="s">
        <v>177</v>
      </c>
      <c r="Z162" s="22" t="s">
        <v>177</v>
      </c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</row>
    <row r="163" spans="1:46" ht="21" customHeight="1" x14ac:dyDescent="0.2">
      <c r="A163" s="35" t="s">
        <v>153</v>
      </c>
      <c r="B163" s="5">
        <v>4.8</v>
      </c>
      <c r="C163" s="36"/>
      <c r="D163" s="79" t="str">
        <f t="shared" si="22"/>
        <v/>
      </c>
      <c r="E163" s="81"/>
      <c r="F163" s="36"/>
      <c r="G163" s="5">
        <v>8.6</v>
      </c>
      <c r="H163" s="3"/>
      <c r="I163" s="74" t="str">
        <f t="shared" si="23"/>
        <v/>
      </c>
      <c r="J163" s="78"/>
      <c r="K163" s="3"/>
      <c r="L163" s="5">
        <v>14.7</v>
      </c>
      <c r="M163" s="15"/>
      <c r="N163" s="84" t="str">
        <f t="shared" si="24"/>
        <v/>
      </c>
      <c r="O163" s="89"/>
      <c r="P163" s="15"/>
      <c r="Q163" s="5" t="s">
        <v>177</v>
      </c>
      <c r="R163" s="22" t="s">
        <v>177</v>
      </c>
      <c r="S163" s="22" t="s">
        <v>177</v>
      </c>
      <c r="T163" s="22" t="s">
        <v>177</v>
      </c>
      <c r="U163" s="22" t="s">
        <v>177</v>
      </c>
      <c r="V163" s="5" t="s">
        <v>177</v>
      </c>
      <c r="W163" s="22" t="s">
        <v>177</v>
      </c>
      <c r="X163" s="22" t="s">
        <v>177</v>
      </c>
      <c r="Y163" s="22" t="s">
        <v>177</v>
      </c>
      <c r="Z163" s="22" t="s">
        <v>177</v>
      </c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</row>
    <row r="164" spans="1:46" ht="21" customHeight="1" x14ac:dyDescent="0.2">
      <c r="A164" s="35" t="s">
        <v>289</v>
      </c>
      <c r="B164" s="5">
        <v>2.6</v>
      </c>
      <c r="C164" s="36"/>
      <c r="D164" s="79"/>
      <c r="E164" s="81"/>
      <c r="F164" s="36"/>
      <c r="G164" s="5">
        <v>9.5</v>
      </c>
      <c r="H164" s="3"/>
      <c r="I164" s="74"/>
      <c r="J164" s="78"/>
      <c r="K164" s="3"/>
      <c r="L164" s="5">
        <v>13.5</v>
      </c>
      <c r="M164" s="15"/>
      <c r="N164" s="84"/>
      <c r="O164" s="89"/>
      <c r="P164" s="15"/>
      <c r="Q164" s="5" t="s">
        <v>177</v>
      </c>
      <c r="R164" s="22" t="s">
        <v>177</v>
      </c>
      <c r="S164" s="22" t="s">
        <v>177</v>
      </c>
      <c r="T164" s="22" t="s">
        <v>177</v>
      </c>
      <c r="U164" s="22" t="s">
        <v>177</v>
      </c>
      <c r="V164" s="5" t="s">
        <v>177</v>
      </c>
      <c r="W164" s="22" t="s">
        <v>177</v>
      </c>
      <c r="X164" s="22" t="s">
        <v>177</v>
      </c>
      <c r="Y164" s="22" t="s">
        <v>177</v>
      </c>
      <c r="Z164" s="22" t="s">
        <v>177</v>
      </c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</row>
    <row r="165" spans="1:46" ht="21" customHeight="1" x14ac:dyDescent="0.2">
      <c r="A165" s="35" t="s">
        <v>290</v>
      </c>
      <c r="B165" s="5">
        <v>5.4</v>
      </c>
      <c r="C165" s="36"/>
      <c r="D165" s="79"/>
      <c r="E165" s="81"/>
      <c r="F165" s="36"/>
      <c r="G165" s="5">
        <v>11.6</v>
      </c>
      <c r="H165" s="3"/>
      <c r="I165" s="74"/>
      <c r="J165" s="78"/>
      <c r="K165" s="3"/>
      <c r="L165" s="5">
        <v>15.5</v>
      </c>
      <c r="M165" s="15"/>
      <c r="N165" s="84"/>
      <c r="O165" s="89"/>
      <c r="P165" s="15"/>
      <c r="Q165" s="5" t="s">
        <v>177</v>
      </c>
      <c r="R165" s="22" t="s">
        <v>177</v>
      </c>
      <c r="S165" s="22" t="s">
        <v>177</v>
      </c>
      <c r="T165" s="22" t="s">
        <v>177</v>
      </c>
      <c r="U165" s="22" t="s">
        <v>177</v>
      </c>
      <c r="V165" s="5" t="s">
        <v>177</v>
      </c>
      <c r="W165" s="22" t="s">
        <v>177</v>
      </c>
      <c r="X165" s="22" t="s">
        <v>177</v>
      </c>
      <c r="Y165" s="22" t="s">
        <v>177</v>
      </c>
      <c r="Z165" s="22" t="s">
        <v>177</v>
      </c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</row>
    <row r="166" spans="1:46" ht="18" customHeight="1" x14ac:dyDescent="0.2">
      <c r="A166" s="133" t="s">
        <v>155</v>
      </c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X166" s="134"/>
      <c r="Y166" s="134"/>
      <c r="Z166" s="150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</row>
    <row r="167" spans="1:46" ht="18" customHeight="1" x14ac:dyDescent="0.2">
      <c r="A167" s="139" t="s">
        <v>163</v>
      </c>
      <c r="B167" s="140"/>
      <c r="C167" s="140"/>
      <c r="D167" s="140"/>
      <c r="E167" s="140"/>
      <c r="F167" s="141"/>
      <c r="G167" s="142" t="s">
        <v>166</v>
      </c>
      <c r="H167" s="143"/>
      <c r="I167" s="139" t="s">
        <v>162</v>
      </c>
      <c r="J167" s="140"/>
      <c r="K167" s="140"/>
      <c r="L167" s="140"/>
      <c r="M167" s="140"/>
      <c r="N167" s="140"/>
      <c r="O167" s="140"/>
      <c r="P167" s="140"/>
      <c r="Q167" s="141"/>
      <c r="R167" s="139" t="s">
        <v>76</v>
      </c>
      <c r="S167" s="140"/>
      <c r="T167" s="140"/>
      <c r="U167" s="140"/>
      <c r="V167" s="140"/>
      <c r="W167" s="140"/>
      <c r="X167" s="140"/>
      <c r="Y167" s="140"/>
      <c r="Z167" s="68" t="s">
        <v>228</v>
      </c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</row>
    <row r="168" spans="1:46" ht="21" customHeight="1" x14ac:dyDescent="0.2">
      <c r="A168" s="136" t="s">
        <v>157</v>
      </c>
      <c r="B168" s="137"/>
      <c r="C168" s="137"/>
      <c r="D168" s="137"/>
      <c r="E168" s="137"/>
      <c r="F168" s="138"/>
      <c r="G168" s="130" t="s">
        <v>181</v>
      </c>
      <c r="H168" s="132"/>
      <c r="I168" s="130">
        <v>177</v>
      </c>
      <c r="J168" s="131"/>
      <c r="K168" s="131"/>
      <c r="L168" s="131"/>
      <c r="M168" s="131"/>
      <c r="N168" s="131"/>
      <c r="O168" s="131"/>
      <c r="P168" s="131"/>
      <c r="Q168" s="132"/>
      <c r="R168" s="128"/>
      <c r="S168" s="129"/>
      <c r="T168" s="129"/>
      <c r="U168" s="129"/>
      <c r="V168" s="129"/>
      <c r="W168" s="129"/>
      <c r="X168" s="129"/>
      <c r="Y168" s="129"/>
      <c r="Z168" s="69" t="str">
        <f>IF(R168="","",IF(AND(R168&gt;1000000),"写错辣!",""))</f>
        <v/>
      </c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</row>
    <row r="169" spans="1:46" ht="21" customHeight="1" x14ac:dyDescent="0.2">
      <c r="A169" s="136" t="s">
        <v>156</v>
      </c>
      <c r="B169" s="137"/>
      <c r="C169" s="137"/>
      <c r="D169" s="137"/>
      <c r="E169" s="137"/>
      <c r="F169" s="138"/>
      <c r="G169" s="130" t="s">
        <v>231</v>
      </c>
      <c r="H169" s="132"/>
      <c r="I169" s="130">
        <v>924</v>
      </c>
      <c r="J169" s="131"/>
      <c r="K169" s="131"/>
      <c r="L169" s="131"/>
      <c r="M169" s="131"/>
      <c r="N169" s="131"/>
      <c r="O169" s="131"/>
      <c r="P169" s="131"/>
      <c r="Q169" s="132"/>
      <c r="R169" s="128"/>
      <c r="S169" s="129"/>
      <c r="T169" s="129"/>
      <c r="U169" s="129"/>
      <c r="V169" s="129"/>
      <c r="W169" s="129"/>
      <c r="X169" s="129"/>
      <c r="Y169" s="129"/>
      <c r="Z169" s="69" t="str">
        <f>IF(R169="","",IF(AND(R169=1000000),"趣，椰叶",IF(AND(R169&gt;1000000),"写错辣!",IF(AND(R169&gt;950000,R169&lt;=999999),"好厉害!",""))))</f>
        <v/>
      </c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</row>
    <row r="170" spans="1:46" ht="21" customHeight="1" x14ac:dyDescent="0.2">
      <c r="A170" s="136" t="s">
        <v>93</v>
      </c>
      <c r="B170" s="137"/>
      <c r="C170" s="137"/>
      <c r="D170" s="137"/>
      <c r="E170" s="137"/>
      <c r="F170" s="138"/>
      <c r="G170" s="130" t="s">
        <v>168</v>
      </c>
      <c r="H170" s="132"/>
      <c r="I170" s="130">
        <v>720</v>
      </c>
      <c r="J170" s="131"/>
      <c r="K170" s="131"/>
      <c r="L170" s="131"/>
      <c r="M170" s="131"/>
      <c r="N170" s="131"/>
      <c r="O170" s="131"/>
      <c r="P170" s="131"/>
      <c r="Q170" s="132"/>
      <c r="R170" s="128"/>
      <c r="S170" s="129"/>
      <c r="T170" s="129"/>
      <c r="U170" s="129"/>
      <c r="V170" s="129"/>
      <c r="W170" s="129"/>
      <c r="X170" s="129"/>
      <c r="Y170" s="129"/>
      <c r="Z170" s="69" t="str">
        <f>IF(R170="","",IF(AND(R170&gt;1000000),"写错辣!",""))</f>
        <v/>
      </c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</row>
    <row r="171" spans="1:46" ht="21" customHeight="1" x14ac:dyDescent="0.2">
      <c r="A171" s="136" t="s">
        <v>158</v>
      </c>
      <c r="B171" s="137"/>
      <c r="C171" s="137"/>
      <c r="D171" s="137"/>
      <c r="E171" s="137"/>
      <c r="F171" s="138"/>
      <c r="G171" s="130" t="s">
        <v>168</v>
      </c>
      <c r="H171" s="132"/>
      <c r="I171" s="130">
        <v>1515</v>
      </c>
      <c r="J171" s="131"/>
      <c r="K171" s="131"/>
      <c r="L171" s="131"/>
      <c r="M171" s="131"/>
      <c r="N171" s="131"/>
      <c r="O171" s="131"/>
      <c r="P171" s="131"/>
      <c r="Q171" s="132"/>
      <c r="R171" s="128"/>
      <c r="S171" s="129"/>
      <c r="T171" s="129"/>
      <c r="U171" s="129"/>
      <c r="V171" s="129"/>
      <c r="W171" s="129"/>
      <c r="X171" s="129"/>
      <c r="Y171" s="129"/>
      <c r="Z171" s="69" t="str">
        <f t="shared" ref="Z171:Z178" si="25">IF(R171="","",IF(AND(R171=1000000),"趣，椰叶",IF(AND(R171&gt;1000000),"写错辣!",IF(AND(R171&gt;950000,R171&lt;=999999),"好厉害!",""))))</f>
        <v/>
      </c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</row>
    <row r="172" spans="1:46" ht="21" customHeight="1" x14ac:dyDescent="0.2">
      <c r="A172" s="136" t="s">
        <v>97</v>
      </c>
      <c r="B172" s="137"/>
      <c r="C172" s="137"/>
      <c r="D172" s="137"/>
      <c r="E172" s="137"/>
      <c r="F172" s="138"/>
      <c r="G172" s="130" t="s">
        <v>168</v>
      </c>
      <c r="H172" s="132"/>
      <c r="I172" s="130">
        <v>416</v>
      </c>
      <c r="J172" s="131"/>
      <c r="K172" s="131"/>
      <c r="L172" s="131"/>
      <c r="M172" s="131"/>
      <c r="N172" s="131"/>
      <c r="O172" s="131"/>
      <c r="P172" s="131"/>
      <c r="Q172" s="132"/>
      <c r="R172" s="128"/>
      <c r="S172" s="129"/>
      <c r="T172" s="129"/>
      <c r="U172" s="129"/>
      <c r="V172" s="129"/>
      <c r="W172" s="129"/>
      <c r="X172" s="129"/>
      <c r="Y172" s="129"/>
      <c r="Z172" s="69" t="str">
        <f t="shared" si="25"/>
        <v/>
      </c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</row>
    <row r="173" spans="1:46" ht="21" customHeight="1" x14ac:dyDescent="0.2">
      <c r="A173" s="136" t="s">
        <v>105</v>
      </c>
      <c r="B173" s="137"/>
      <c r="C173" s="137"/>
      <c r="D173" s="137"/>
      <c r="E173" s="137"/>
      <c r="F173" s="138"/>
      <c r="G173" s="130" t="s">
        <v>170</v>
      </c>
      <c r="H173" s="132"/>
      <c r="I173" s="130">
        <v>564</v>
      </c>
      <c r="J173" s="131"/>
      <c r="K173" s="131"/>
      <c r="L173" s="131"/>
      <c r="M173" s="131"/>
      <c r="N173" s="131"/>
      <c r="O173" s="131"/>
      <c r="P173" s="131"/>
      <c r="Q173" s="132"/>
      <c r="R173" s="128"/>
      <c r="S173" s="129"/>
      <c r="T173" s="129"/>
      <c r="U173" s="129"/>
      <c r="V173" s="129"/>
      <c r="W173" s="129"/>
      <c r="X173" s="129"/>
      <c r="Y173" s="129"/>
      <c r="Z173" s="69" t="str">
        <f t="shared" si="25"/>
        <v/>
      </c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</row>
    <row r="174" spans="1:46" ht="21" customHeight="1" x14ac:dyDescent="0.2">
      <c r="A174" s="136" t="s">
        <v>159</v>
      </c>
      <c r="B174" s="137"/>
      <c r="C174" s="137"/>
      <c r="D174" s="137"/>
      <c r="E174" s="137"/>
      <c r="F174" s="138"/>
      <c r="G174" s="130" t="s">
        <v>171</v>
      </c>
      <c r="H174" s="132"/>
      <c r="I174" s="130">
        <v>2500</v>
      </c>
      <c r="J174" s="131"/>
      <c r="K174" s="131"/>
      <c r="L174" s="131"/>
      <c r="M174" s="131"/>
      <c r="N174" s="131"/>
      <c r="O174" s="131"/>
      <c r="P174" s="131"/>
      <c r="Q174" s="132"/>
      <c r="R174" s="128"/>
      <c r="S174" s="129"/>
      <c r="T174" s="129"/>
      <c r="U174" s="129"/>
      <c r="V174" s="129"/>
      <c r="W174" s="129"/>
      <c r="X174" s="129"/>
      <c r="Y174" s="129"/>
      <c r="Z174" s="69" t="str">
        <f t="shared" si="25"/>
        <v/>
      </c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</row>
    <row r="175" spans="1:46" ht="21" customHeight="1" x14ac:dyDescent="0.2">
      <c r="A175" s="136" t="s">
        <v>101</v>
      </c>
      <c r="B175" s="137"/>
      <c r="C175" s="137"/>
      <c r="D175" s="137"/>
      <c r="E175" s="137"/>
      <c r="F175" s="138"/>
      <c r="G175" s="130" t="s">
        <v>169</v>
      </c>
      <c r="H175" s="132"/>
      <c r="I175" s="130">
        <v>906</v>
      </c>
      <c r="J175" s="131"/>
      <c r="K175" s="131"/>
      <c r="L175" s="131"/>
      <c r="M175" s="131"/>
      <c r="N175" s="131"/>
      <c r="O175" s="131"/>
      <c r="P175" s="131"/>
      <c r="Q175" s="132"/>
      <c r="R175" s="128"/>
      <c r="S175" s="129"/>
      <c r="T175" s="129"/>
      <c r="U175" s="129"/>
      <c r="V175" s="129"/>
      <c r="W175" s="129"/>
      <c r="X175" s="129"/>
      <c r="Y175" s="129"/>
      <c r="Z175" s="69" t="str">
        <f t="shared" si="25"/>
        <v/>
      </c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</row>
    <row r="176" spans="1:46" ht="21" customHeight="1" x14ac:dyDescent="0.2">
      <c r="A176" s="136" t="s">
        <v>88</v>
      </c>
      <c r="B176" s="137"/>
      <c r="C176" s="137"/>
      <c r="D176" s="137"/>
      <c r="E176" s="137"/>
      <c r="F176" s="138"/>
      <c r="G176" s="130" t="s">
        <v>167</v>
      </c>
      <c r="H176" s="132"/>
      <c r="I176" s="130">
        <v>541</v>
      </c>
      <c r="J176" s="131"/>
      <c r="K176" s="131"/>
      <c r="L176" s="131"/>
      <c r="M176" s="131"/>
      <c r="N176" s="131"/>
      <c r="O176" s="131"/>
      <c r="P176" s="131"/>
      <c r="Q176" s="132"/>
      <c r="R176" s="128"/>
      <c r="S176" s="129"/>
      <c r="T176" s="129"/>
      <c r="U176" s="129"/>
      <c r="V176" s="129"/>
      <c r="W176" s="129"/>
      <c r="X176" s="129"/>
      <c r="Y176" s="129"/>
      <c r="Z176" s="69" t="str">
        <f t="shared" si="25"/>
        <v/>
      </c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</row>
    <row r="177" spans="1:46" ht="21" customHeight="1" x14ac:dyDescent="0.2">
      <c r="A177" s="136" t="s">
        <v>160</v>
      </c>
      <c r="B177" s="137"/>
      <c r="C177" s="137"/>
      <c r="D177" s="137"/>
      <c r="E177" s="137"/>
      <c r="F177" s="138"/>
      <c r="G177" s="130" t="s">
        <v>167</v>
      </c>
      <c r="H177" s="132"/>
      <c r="I177" s="130">
        <v>1152</v>
      </c>
      <c r="J177" s="131"/>
      <c r="K177" s="131"/>
      <c r="L177" s="131"/>
      <c r="M177" s="131"/>
      <c r="N177" s="131"/>
      <c r="O177" s="131"/>
      <c r="P177" s="131"/>
      <c r="Q177" s="132"/>
      <c r="R177" s="128"/>
      <c r="S177" s="129"/>
      <c r="T177" s="129"/>
      <c r="U177" s="129"/>
      <c r="V177" s="129"/>
      <c r="W177" s="129"/>
      <c r="X177" s="129"/>
      <c r="Y177" s="129"/>
      <c r="Z177" s="69" t="str">
        <f t="shared" si="25"/>
        <v/>
      </c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</row>
    <row r="178" spans="1:46" ht="21" customHeight="1" x14ac:dyDescent="0.2">
      <c r="A178" s="136" t="s">
        <v>161</v>
      </c>
      <c r="B178" s="137"/>
      <c r="C178" s="137"/>
      <c r="D178" s="137"/>
      <c r="E178" s="137"/>
      <c r="F178" s="138"/>
      <c r="G178" s="130" t="s">
        <v>167</v>
      </c>
      <c r="H178" s="132"/>
      <c r="I178" s="130">
        <v>4000</v>
      </c>
      <c r="J178" s="131"/>
      <c r="K178" s="131"/>
      <c r="L178" s="131"/>
      <c r="M178" s="131"/>
      <c r="N178" s="131"/>
      <c r="O178" s="131"/>
      <c r="P178" s="131"/>
      <c r="Q178" s="132"/>
      <c r="R178" s="128"/>
      <c r="S178" s="129"/>
      <c r="T178" s="129"/>
      <c r="U178" s="129"/>
      <c r="V178" s="129"/>
      <c r="W178" s="129"/>
      <c r="X178" s="129"/>
      <c r="Y178" s="129"/>
      <c r="Z178" s="69" t="str">
        <f t="shared" si="25"/>
        <v/>
      </c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</row>
    <row r="179" spans="1:46" x14ac:dyDescent="0.2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</row>
    <row r="180" spans="1:46" x14ac:dyDescent="0.2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</row>
    <row r="181" spans="1:46" x14ac:dyDescent="0.2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</row>
    <row r="182" spans="1:46" x14ac:dyDescent="0.2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</row>
    <row r="183" spans="1:46" x14ac:dyDescent="0.2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</row>
    <row r="184" spans="1:46" x14ac:dyDescent="0.2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</row>
    <row r="185" spans="1:46" x14ac:dyDescent="0.2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</row>
    <row r="186" spans="1:46" x14ac:dyDescent="0.2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</row>
    <row r="187" spans="1:46" x14ac:dyDescent="0.2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</row>
    <row r="188" spans="1:46" x14ac:dyDescent="0.2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</row>
    <row r="189" spans="1:46" x14ac:dyDescent="0.2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</row>
    <row r="190" spans="1:46" x14ac:dyDescent="0.2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</row>
    <row r="191" spans="1:46" x14ac:dyDescent="0.2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</row>
    <row r="192" spans="1:46" x14ac:dyDescent="0.2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</row>
    <row r="193" spans="1:46" x14ac:dyDescent="0.2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</row>
    <row r="194" spans="1:46" x14ac:dyDescent="0.2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</row>
    <row r="195" spans="1:46" x14ac:dyDescent="0.2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</row>
    <row r="196" spans="1:46" x14ac:dyDescent="0.2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</row>
    <row r="197" spans="1:46" x14ac:dyDescent="0.2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</row>
    <row r="198" spans="1:46" x14ac:dyDescent="0.2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</row>
    <row r="199" spans="1:46" x14ac:dyDescent="0.2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</row>
    <row r="200" spans="1:46" x14ac:dyDescent="0.2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</row>
    <row r="201" spans="1:46" x14ac:dyDescent="0.2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</row>
    <row r="202" spans="1:46" x14ac:dyDescent="0.2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</row>
    <row r="203" spans="1:46" x14ac:dyDescent="0.2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</row>
    <row r="204" spans="1:46" x14ac:dyDescent="0.2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</row>
    <row r="205" spans="1:46" x14ac:dyDescent="0.2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</row>
    <row r="206" spans="1:46" x14ac:dyDescent="0.2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</row>
    <row r="207" spans="1:46" x14ac:dyDescent="0.2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</row>
    <row r="208" spans="1:46" x14ac:dyDescent="0.2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</row>
    <row r="209" spans="1:46" x14ac:dyDescent="0.2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</row>
    <row r="210" spans="1:46" x14ac:dyDescent="0.2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</row>
    <row r="211" spans="1:46" x14ac:dyDescent="0.2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</row>
    <row r="212" spans="1:46" x14ac:dyDescent="0.2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</row>
    <row r="213" spans="1:46" x14ac:dyDescent="0.2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</row>
    <row r="214" spans="1:46" x14ac:dyDescent="0.2">
      <c r="A214" s="25"/>
      <c r="B214" s="25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25"/>
      <c r="P214" s="25"/>
      <c r="Q214" s="25"/>
      <c r="R214" s="25"/>
      <c r="S214" s="25"/>
      <c r="T214" s="25"/>
      <c r="U214" s="25"/>
      <c r="V214" s="25"/>
      <c r="W214" s="25"/>
      <c r="X214" s="25"/>
      <c r="Y214" s="25"/>
      <c r="Z214" s="25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</row>
    <row r="215" spans="1:46" x14ac:dyDescent="0.2">
      <c r="A215" s="25"/>
      <c r="B215" s="25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25"/>
      <c r="P215" s="25"/>
      <c r="Q215" s="25"/>
      <c r="R215" s="25"/>
      <c r="S215" s="25"/>
      <c r="T215" s="25"/>
      <c r="U215" s="25"/>
      <c r="V215" s="25"/>
      <c r="W215" s="25"/>
      <c r="X215" s="25"/>
      <c r="Y215" s="25"/>
      <c r="Z215" s="2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</row>
    <row r="216" spans="1:46" x14ac:dyDescent="0.2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25"/>
      <c r="P216" s="25"/>
      <c r="Q216" s="25"/>
      <c r="R216" s="25"/>
      <c r="S216" s="25"/>
      <c r="T216" s="25"/>
      <c r="U216" s="25"/>
      <c r="V216" s="25"/>
      <c r="W216" s="25"/>
      <c r="X216" s="25"/>
      <c r="Y216" s="25"/>
      <c r="Z216" s="25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</row>
    <row r="217" spans="1:46" x14ac:dyDescent="0.2">
      <c r="A217" s="25"/>
      <c r="B217" s="25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25"/>
      <c r="P217" s="25"/>
      <c r="Q217" s="25"/>
      <c r="R217" s="25"/>
      <c r="S217" s="25"/>
      <c r="T217" s="25"/>
      <c r="U217" s="25"/>
      <c r="V217" s="25"/>
      <c r="W217" s="25"/>
      <c r="X217" s="25"/>
      <c r="Y217" s="25"/>
      <c r="Z217" s="25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</row>
    <row r="218" spans="1:46" x14ac:dyDescent="0.2">
      <c r="A218" s="25"/>
      <c r="B218" s="25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25"/>
      <c r="P218" s="25"/>
      <c r="Q218" s="25"/>
      <c r="R218" s="25"/>
      <c r="S218" s="25"/>
      <c r="T218" s="25"/>
      <c r="U218" s="25"/>
      <c r="V218" s="25"/>
      <c r="W218" s="25"/>
      <c r="X218" s="25"/>
      <c r="Y218" s="25"/>
      <c r="Z218" s="25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</row>
    <row r="219" spans="1:46" x14ac:dyDescent="0.2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25"/>
      <c r="P219" s="25"/>
      <c r="Q219" s="25"/>
      <c r="R219" s="25"/>
      <c r="S219" s="25"/>
      <c r="T219" s="25"/>
      <c r="U219" s="25"/>
      <c r="V219" s="25"/>
      <c r="W219" s="25"/>
      <c r="X219" s="25"/>
      <c r="Y219" s="25"/>
      <c r="Z219" s="25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</row>
    <row r="220" spans="1:46" x14ac:dyDescent="0.2">
      <c r="A220" s="25"/>
      <c r="B220" s="25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</row>
    <row r="221" spans="1:46" x14ac:dyDescent="0.2">
      <c r="A221" s="25"/>
      <c r="B221" s="25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</row>
    <row r="222" spans="1:46" x14ac:dyDescent="0.2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25"/>
      <c r="P222" s="25"/>
      <c r="Q222" s="25"/>
      <c r="R222" s="25"/>
      <c r="S222" s="25"/>
      <c r="T222" s="25"/>
      <c r="U222" s="25"/>
      <c r="V222" s="25"/>
      <c r="W222" s="25"/>
      <c r="X222" s="25"/>
      <c r="Y222" s="25"/>
      <c r="Z222" s="25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</row>
    <row r="223" spans="1:46" x14ac:dyDescent="0.2">
      <c r="A223" s="25"/>
      <c r="B223" s="25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25"/>
      <c r="P223" s="25"/>
      <c r="Q223" s="25"/>
      <c r="R223" s="25"/>
      <c r="S223" s="25"/>
      <c r="T223" s="25"/>
      <c r="U223" s="25"/>
      <c r="V223" s="25"/>
      <c r="W223" s="25"/>
      <c r="X223" s="25"/>
      <c r="Y223" s="25"/>
      <c r="Z223" s="25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</row>
    <row r="224" spans="1:46" x14ac:dyDescent="0.2">
      <c r="A224" s="25"/>
      <c r="B224" s="25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25"/>
      <c r="P224" s="25"/>
      <c r="Q224" s="25"/>
      <c r="R224" s="25"/>
      <c r="S224" s="25"/>
      <c r="T224" s="25"/>
      <c r="U224" s="25"/>
      <c r="V224" s="25"/>
      <c r="W224" s="25"/>
      <c r="X224" s="25"/>
      <c r="Y224" s="25"/>
      <c r="Z224" s="25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</row>
    <row r="225" spans="1:46" x14ac:dyDescent="0.2">
      <c r="A225" s="25"/>
      <c r="B225" s="25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25"/>
      <c r="P225" s="25"/>
      <c r="Q225" s="25"/>
      <c r="R225" s="25"/>
      <c r="S225" s="25"/>
      <c r="T225" s="25"/>
      <c r="U225" s="25"/>
      <c r="V225" s="25"/>
      <c r="W225" s="25"/>
      <c r="X225" s="25"/>
      <c r="Y225" s="25"/>
      <c r="Z225" s="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</row>
    <row r="226" spans="1:46" x14ac:dyDescent="0.2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25"/>
      <c r="P226" s="25"/>
      <c r="Q226" s="25"/>
      <c r="R226" s="25"/>
      <c r="S226" s="25"/>
      <c r="T226" s="25"/>
      <c r="U226" s="25"/>
      <c r="V226" s="25"/>
      <c r="W226" s="25"/>
      <c r="X226" s="25"/>
      <c r="Y226" s="25"/>
      <c r="Z226" s="25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</row>
    <row r="227" spans="1:46" x14ac:dyDescent="0.2">
      <c r="A227" s="25"/>
      <c r="B227" s="25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</row>
    <row r="228" spans="1:46" x14ac:dyDescent="0.2">
      <c r="A228" s="25"/>
      <c r="B228" s="25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25"/>
      <c r="P228" s="25"/>
      <c r="Q228" s="25"/>
      <c r="R228" s="25"/>
      <c r="S228" s="25"/>
      <c r="T228" s="25"/>
      <c r="U228" s="25"/>
      <c r="V228" s="25"/>
      <c r="W228" s="25"/>
      <c r="X228" s="25"/>
      <c r="Y228" s="25"/>
      <c r="Z228" s="25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</row>
    <row r="229" spans="1:46" x14ac:dyDescent="0.2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25"/>
      <c r="P229" s="25"/>
      <c r="Q229" s="25"/>
      <c r="R229" s="25"/>
      <c r="S229" s="25"/>
      <c r="T229" s="25"/>
      <c r="U229" s="25"/>
      <c r="V229" s="25"/>
      <c r="W229" s="25"/>
      <c r="X229" s="25"/>
      <c r="Y229" s="25"/>
      <c r="Z229" s="25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</row>
    <row r="230" spans="1:46" x14ac:dyDescent="0.2">
      <c r="A230" s="25"/>
      <c r="B230" s="25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</row>
    <row r="231" spans="1:46" x14ac:dyDescent="0.2">
      <c r="A231" s="25"/>
      <c r="B231" s="25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25"/>
      <c r="P231" s="25"/>
      <c r="Q231" s="25"/>
      <c r="R231" s="25"/>
      <c r="S231" s="25"/>
      <c r="T231" s="25"/>
      <c r="U231" s="25"/>
      <c r="V231" s="25"/>
      <c r="W231" s="25"/>
      <c r="X231" s="25"/>
      <c r="Y231" s="25"/>
      <c r="Z231" s="25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</row>
    <row r="232" spans="1:46" x14ac:dyDescent="0.2">
      <c r="A232" s="25"/>
      <c r="B232" s="25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25"/>
      <c r="P232" s="25"/>
      <c r="Q232" s="25"/>
      <c r="R232" s="25"/>
      <c r="S232" s="25"/>
      <c r="T232" s="25"/>
      <c r="U232" s="25"/>
      <c r="V232" s="25"/>
      <c r="W232" s="25"/>
      <c r="X232" s="25"/>
      <c r="Y232" s="25"/>
      <c r="Z232" s="25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</row>
    <row r="233" spans="1:46" x14ac:dyDescent="0.2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</row>
    <row r="234" spans="1:46" x14ac:dyDescent="0.2">
      <c r="A234" s="25"/>
      <c r="B234" s="25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25"/>
      <c r="P234" s="25"/>
      <c r="Q234" s="25"/>
      <c r="R234" s="25"/>
      <c r="S234" s="25"/>
      <c r="T234" s="25"/>
      <c r="U234" s="25"/>
      <c r="V234" s="25"/>
      <c r="W234" s="25"/>
      <c r="X234" s="25"/>
      <c r="Y234" s="25"/>
      <c r="Z234" s="25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</row>
    <row r="235" spans="1:46" x14ac:dyDescent="0.2">
      <c r="A235" s="25"/>
      <c r="B235" s="25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25"/>
      <c r="P235" s="25"/>
      <c r="Q235" s="25"/>
      <c r="R235" s="25"/>
      <c r="S235" s="25"/>
      <c r="T235" s="25"/>
      <c r="U235" s="25"/>
      <c r="V235" s="25"/>
      <c r="W235" s="25"/>
      <c r="X235" s="25"/>
      <c r="Y235" s="25"/>
      <c r="Z235" s="2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</row>
    <row r="236" spans="1:46" x14ac:dyDescent="0.2">
      <c r="A236" s="25"/>
      <c r="B236" s="25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25"/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</row>
    <row r="237" spans="1:46" x14ac:dyDescent="0.2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</row>
    <row r="238" spans="1:46" x14ac:dyDescent="0.2">
      <c r="A238" s="25"/>
      <c r="B238" s="25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25"/>
      <c r="P238" s="25"/>
      <c r="Q238" s="25"/>
      <c r="R238" s="25"/>
      <c r="S238" s="25"/>
      <c r="T238" s="25"/>
      <c r="U238" s="25"/>
      <c r="V238" s="25"/>
      <c r="W238" s="25"/>
      <c r="X238" s="25"/>
      <c r="Y238" s="25"/>
      <c r="Z238" s="25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</row>
    <row r="239" spans="1:46" x14ac:dyDescent="0.2">
      <c r="A239" s="25"/>
      <c r="B239" s="25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  <c r="P239" s="25"/>
      <c r="Q239" s="25"/>
      <c r="R239" s="25"/>
      <c r="S239" s="25"/>
      <c r="T239" s="25"/>
      <c r="U239" s="25"/>
      <c r="V239" s="25"/>
      <c r="W239" s="25"/>
      <c r="X239" s="25"/>
      <c r="Y239" s="25"/>
      <c r="Z239" s="25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</row>
    <row r="240" spans="1:46" x14ac:dyDescent="0.2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25"/>
      <c r="P240" s="25"/>
      <c r="Q240" s="25"/>
      <c r="R240" s="25"/>
      <c r="S240" s="25"/>
      <c r="T240" s="25"/>
      <c r="U240" s="25"/>
      <c r="V240" s="25"/>
      <c r="W240" s="25"/>
      <c r="X240" s="25"/>
      <c r="Y240" s="25"/>
      <c r="Z240" s="25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</row>
    <row r="241" spans="1:46" x14ac:dyDescent="0.2">
      <c r="A241" s="25"/>
      <c r="B241" s="25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25"/>
      <c r="P241" s="25"/>
      <c r="Q241" s="25"/>
      <c r="R241" s="25"/>
      <c r="S241" s="25"/>
      <c r="T241" s="25"/>
      <c r="U241" s="25"/>
      <c r="V241" s="25"/>
      <c r="W241" s="25"/>
      <c r="X241" s="25"/>
      <c r="Y241" s="25"/>
      <c r="Z241" s="25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</row>
    <row r="242" spans="1:46" x14ac:dyDescent="0.2">
      <c r="A242" s="25"/>
      <c r="B242" s="25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25"/>
      <c r="P242" s="25"/>
      <c r="Q242" s="25"/>
      <c r="R242" s="25"/>
      <c r="S242" s="25"/>
      <c r="T242" s="25"/>
      <c r="U242" s="25"/>
      <c r="V242" s="25"/>
      <c r="W242" s="25"/>
      <c r="X242" s="25"/>
      <c r="Y242" s="25"/>
      <c r="Z242" s="25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</row>
    <row r="243" spans="1:46" x14ac:dyDescent="0.2">
      <c r="A243" s="25"/>
      <c r="B243" s="25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25"/>
      <c r="P243" s="25"/>
      <c r="Q243" s="25"/>
      <c r="R243" s="25"/>
      <c r="S243" s="25"/>
      <c r="T243" s="25"/>
      <c r="U243" s="25"/>
      <c r="V243" s="25"/>
      <c r="W243" s="25"/>
      <c r="X243" s="25"/>
      <c r="Y243" s="25"/>
      <c r="Z243" s="25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</row>
    <row r="244" spans="1:46" x14ac:dyDescent="0.2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25"/>
      <c r="P244" s="25"/>
      <c r="Q244" s="25"/>
      <c r="R244" s="25"/>
      <c r="S244" s="25"/>
      <c r="T244" s="25"/>
      <c r="U244" s="25"/>
      <c r="V244" s="25"/>
      <c r="W244" s="25"/>
      <c r="X244" s="25"/>
      <c r="Y244" s="25"/>
      <c r="Z244" s="25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</row>
    <row r="245" spans="1:46" x14ac:dyDescent="0.2">
      <c r="A245" s="25"/>
      <c r="B245" s="25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</row>
    <row r="246" spans="1:46" x14ac:dyDescent="0.2">
      <c r="A246" s="25"/>
      <c r="B246" s="25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25"/>
      <c r="P246" s="25"/>
      <c r="Q246" s="25"/>
      <c r="R246" s="25"/>
      <c r="S246" s="25"/>
      <c r="T246" s="25"/>
      <c r="U246" s="25"/>
      <c r="V246" s="25"/>
      <c r="W246" s="25"/>
      <c r="X246" s="25"/>
      <c r="Y246" s="25"/>
      <c r="Z246" s="25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</row>
    <row r="247" spans="1:46" x14ac:dyDescent="0.2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25"/>
      <c r="P247" s="25"/>
      <c r="Q247" s="25"/>
      <c r="R247" s="25"/>
      <c r="S247" s="25"/>
      <c r="T247" s="25"/>
      <c r="U247" s="25"/>
      <c r="V247" s="25"/>
      <c r="W247" s="25"/>
      <c r="X247" s="25"/>
      <c r="Y247" s="25"/>
      <c r="Z247" s="25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</row>
    <row r="248" spans="1:46" x14ac:dyDescent="0.2">
      <c r="A248" s="25"/>
      <c r="B248" s="25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25"/>
      <c r="P248" s="25"/>
      <c r="Q248" s="25"/>
      <c r="R248" s="25"/>
      <c r="S248" s="25"/>
      <c r="T248" s="25"/>
      <c r="U248" s="25"/>
      <c r="V248" s="25"/>
      <c r="W248" s="25"/>
      <c r="X248" s="25"/>
      <c r="Y248" s="25"/>
      <c r="Z248" s="25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</row>
    <row r="249" spans="1:46" x14ac:dyDescent="0.2">
      <c r="A249" s="25"/>
      <c r="B249" s="25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5"/>
      <c r="R249" s="25"/>
      <c r="S249" s="25"/>
      <c r="T249" s="25"/>
      <c r="U249" s="25"/>
      <c r="V249" s="25"/>
      <c r="W249" s="25"/>
      <c r="X249" s="25"/>
      <c r="Y249" s="25"/>
      <c r="Z249" s="25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</row>
    <row r="250" spans="1:46" x14ac:dyDescent="0.2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5"/>
      <c r="R250" s="25"/>
      <c r="S250" s="25"/>
      <c r="T250" s="25"/>
      <c r="U250" s="25"/>
      <c r="V250" s="25"/>
      <c r="W250" s="25"/>
      <c r="X250" s="25"/>
      <c r="Y250" s="25"/>
      <c r="Z250" s="25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</row>
    <row r="251" spans="1:46" x14ac:dyDescent="0.2">
      <c r="A251" s="25"/>
      <c r="B251" s="25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</row>
    <row r="252" spans="1:46" x14ac:dyDescent="0.2">
      <c r="A252" s="25"/>
      <c r="B252" s="25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</row>
    <row r="253" spans="1:46" x14ac:dyDescent="0.2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25"/>
      <c r="P253" s="25"/>
      <c r="Q253" s="25"/>
      <c r="R253" s="25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</row>
    <row r="254" spans="1:46" x14ac:dyDescent="0.2">
      <c r="A254" s="25"/>
      <c r="B254" s="25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25"/>
      <c r="P254" s="25"/>
      <c r="Q254" s="25"/>
      <c r="R254" s="25"/>
      <c r="S254" s="25"/>
      <c r="T254" s="25"/>
      <c r="U254" s="25"/>
      <c r="V254" s="25"/>
      <c r="W254" s="25"/>
      <c r="X254" s="25"/>
      <c r="Y254" s="25"/>
      <c r="Z254" s="25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</row>
    <row r="255" spans="1:46" x14ac:dyDescent="0.2">
      <c r="A255" s="25"/>
      <c r="B255" s="25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</row>
    <row r="256" spans="1:46" x14ac:dyDescent="0.2">
      <c r="A256" s="25"/>
      <c r="B256" s="25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25"/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</row>
    <row r="257" spans="1:46" x14ac:dyDescent="0.2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</row>
    <row r="258" spans="1:46" x14ac:dyDescent="0.2">
      <c r="A258" s="25"/>
      <c r="B258" s="25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</row>
  </sheetData>
  <mergeCells count="72">
    <mergeCell ref="A93:Z93"/>
    <mergeCell ref="I167:Q167"/>
    <mergeCell ref="A166:Z166"/>
    <mergeCell ref="G173:H173"/>
    <mergeCell ref="G171:H171"/>
    <mergeCell ref="R167:Y167"/>
    <mergeCell ref="R168:Y168"/>
    <mergeCell ref="A35:Z35"/>
    <mergeCell ref="A27:Z27"/>
    <mergeCell ref="A21:Z21"/>
    <mergeCell ref="A62:Z62"/>
    <mergeCell ref="A49:Z49"/>
    <mergeCell ref="A1:Z1"/>
    <mergeCell ref="A2:A4"/>
    <mergeCell ref="A5:Z5"/>
    <mergeCell ref="B3:F3"/>
    <mergeCell ref="G3:K3"/>
    <mergeCell ref="L3:P3"/>
    <mergeCell ref="Q3:U3"/>
    <mergeCell ref="B2:Z2"/>
    <mergeCell ref="V3:Z3"/>
    <mergeCell ref="A178:F178"/>
    <mergeCell ref="A55:Z55"/>
    <mergeCell ref="A42:Z42"/>
    <mergeCell ref="A78:Z78"/>
    <mergeCell ref="A68:Z68"/>
    <mergeCell ref="A72:Z72"/>
    <mergeCell ref="A83:Z83"/>
    <mergeCell ref="A87:Z87"/>
    <mergeCell ref="A167:F167"/>
    <mergeCell ref="G167:H167"/>
    <mergeCell ref="G168:H168"/>
    <mergeCell ref="G170:H170"/>
    <mergeCell ref="I168:Q168"/>
    <mergeCell ref="I170:Q170"/>
    <mergeCell ref="A169:F169"/>
    <mergeCell ref="A172:F172"/>
    <mergeCell ref="I178:Q178"/>
    <mergeCell ref="G174:H174"/>
    <mergeCell ref="G175:H175"/>
    <mergeCell ref="G176:H176"/>
    <mergeCell ref="G177:H177"/>
    <mergeCell ref="G178:H178"/>
    <mergeCell ref="R178:Y178"/>
    <mergeCell ref="A99:Z99"/>
    <mergeCell ref="I174:Q174"/>
    <mergeCell ref="I175:Q175"/>
    <mergeCell ref="I176:Q176"/>
    <mergeCell ref="I177:Q177"/>
    <mergeCell ref="A174:F174"/>
    <mergeCell ref="A175:F175"/>
    <mergeCell ref="A176:F176"/>
    <mergeCell ref="A177:F177"/>
    <mergeCell ref="A173:F173"/>
    <mergeCell ref="A168:F168"/>
    <mergeCell ref="A170:F170"/>
    <mergeCell ref="A171:F171"/>
    <mergeCell ref="G172:H172"/>
    <mergeCell ref="G169:H169"/>
    <mergeCell ref="R176:Y176"/>
    <mergeCell ref="R177:Y177"/>
    <mergeCell ref="I169:Q169"/>
    <mergeCell ref="I172:Q172"/>
    <mergeCell ref="I173:Q173"/>
    <mergeCell ref="I171:Q171"/>
    <mergeCell ref="R170:Y170"/>
    <mergeCell ref="R171:Y171"/>
    <mergeCell ref="R172:Y172"/>
    <mergeCell ref="R173:Y173"/>
    <mergeCell ref="R169:Y169"/>
    <mergeCell ref="R174:Y174"/>
    <mergeCell ref="R175:Y175"/>
  </mergeCells>
  <phoneticPr fontId="1" type="noConversion"/>
  <pageMargins left="0.7" right="0.7" top="0.75" bottom="0.75" header="0.3" footer="0.3"/>
  <pageSetup paperSize="9" orientation="portrait" verticalDpi="0" r:id="rId1"/>
  <ignoredErrors>
    <ignoredError sqref="E7 Z169:Z17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197F0-2C71-48AB-AEA5-43D778E85432}">
  <sheetPr codeName="Sheet3"/>
  <dimension ref="A1:AG102"/>
  <sheetViews>
    <sheetView topLeftCell="I4" zoomScale="112" zoomScaleNormal="112" workbookViewId="0">
      <selection activeCell="AA16" sqref="AA16:AC16"/>
    </sheetView>
  </sheetViews>
  <sheetFormatPr defaultRowHeight="14.25" x14ac:dyDescent="0.2"/>
  <cols>
    <col min="1" max="1" width="21.375" customWidth="1"/>
    <col min="2" max="2" width="9" hidden="1" customWidth="1"/>
    <col min="3" max="3" width="21" customWidth="1"/>
    <col min="4" max="4" width="9.75" customWidth="1"/>
    <col min="5" max="5" width="21.125" customWidth="1"/>
    <col min="9" max="9" width="25.375" customWidth="1"/>
    <col min="10" max="11" width="9" hidden="1" customWidth="1"/>
    <col min="12" max="12" width="1.875" customWidth="1"/>
    <col min="16" max="16" width="12.25" customWidth="1"/>
    <col min="17" max="17" width="8.875" customWidth="1"/>
    <col min="18" max="18" width="9" hidden="1" customWidth="1"/>
    <col min="21" max="21" width="8.875" customWidth="1"/>
    <col min="22" max="22" width="9" hidden="1" customWidth="1"/>
  </cols>
  <sheetData>
    <row r="1" spans="1:33" ht="14.25" customHeight="1" x14ac:dyDescent="0.2">
      <c r="A1" s="152" t="s">
        <v>173</v>
      </c>
      <c r="B1" s="152"/>
      <c r="C1" s="152"/>
      <c r="D1" s="152"/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71"/>
      <c r="AB1" s="71"/>
      <c r="AC1" s="71"/>
      <c r="AD1" s="71"/>
      <c r="AE1" s="71"/>
      <c r="AF1" s="71"/>
      <c r="AG1" s="71"/>
    </row>
    <row r="2" spans="1:33" ht="14.25" customHeight="1" x14ac:dyDescent="0.2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P2" s="152"/>
      <c r="Q2" s="152"/>
      <c r="R2" s="152"/>
      <c r="S2" s="152"/>
      <c r="T2" s="152"/>
      <c r="U2" s="152"/>
      <c r="V2" s="152"/>
      <c r="W2" s="152"/>
      <c r="X2" s="152"/>
      <c r="Y2" s="152"/>
      <c r="Z2" s="152"/>
      <c r="AA2" s="71"/>
      <c r="AB2" s="71"/>
      <c r="AC2" s="71"/>
      <c r="AD2" s="71"/>
      <c r="AE2" s="71"/>
      <c r="AF2" s="71"/>
      <c r="AG2" s="71"/>
    </row>
    <row r="3" spans="1:33" ht="14.25" customHeight="1" x14ac:dyDescent="0.2">
      <c r="A3" s="152"/>
      <c r="B3" s="152"/>
      <c r="C3" s="152"/>
      <c r="D3" s="152"/>
      <c r="E3" s="152"/>
      <c r="F3" s="152"/>
      <c r="G3" s="152"/>
      <c r="H3" s="152"/>
      <c r="I3" s="152"/>
      <c r="J3" s="152"/>
      <c r="K3" s="152"/>
      <c r="L3" s="152"/>
      <c r="M3" s="152"/>
      <c r="N3" s="152"/>
      <c r="O3" s="152"/>
      <c r="P3" s="152"/>
      <c r="Q3" s="152"/>
      <c r="R3" s="152"/>
      <c r="S3" s="152"/>
      <c r="T3" s="152"/>
      <c r="U3" s="152"/>
      <c r="V3" s="152"/>
      <c r="W3" s="152"/>
      <c r="X3" s="152"/>
      <c r="Y3" s="152"/>
      <c r="Z3" s="152"/>
      <c r="AA3" s="71"/>
      <c r="AB3" s="71"/>
      <c r="AC3" s="71"/>
      <c r="AD3" s="71"/>
      <c r="AE3" s="71"/>
      <c r="AF3" s="71"/>
      <c r="AG3" s="71"/>
    </row>
    <row r="4" spans="1:33" ht="14.25" customHeight="1" x14ac:dyDescent="0.2">
      <c r="A4" s="152"/>
      <c r="B4" s="152"/>
      <c r="C4" s="152"/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71"/>
      <c r="AB4" s="71"/>
      <c r="AC4" s="71"/>
      <c r="AD4" s="71"/>
      <c r="AE4" s="71"/>
      <c r="AF4" s="71"/>
      <c r="AG4" s="71"/>
    </row>
    <row r="5" spans="1:33" ht="14.25" customHeight="1" x14ac:dyDescent="0.2">
      <c r="A5" s="152"/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71"/>
      <c r="AB5" s="71"/>
      <c r="AC5" s="71"/>
      <c r="AD5" s="71"/>
      <c r="AE5" s="71"/>
      <c r="AF5" s="71"/>
      <c r="AG5" s="71"/>
    </row>
    <row r="6" spans="1:33" ht="14.25" customHeight="1" x14ac:dyDescent="0.2">
      <c r="A6" s="152"/>
      <c r="B6" s="152"/>
      <c r="C6" s="152"/>
      <c r="D6" s="152"/>
      <c r="E6" s="152"/>
      <c r="F6" s="152"/>
      <c r="G6" s="152"/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52"/>
      <c r="Y6" s="152"/>
      <c r="Z6" s="152"/>
      <c r="AA6" s="71"/>
      <c r="AB6" s="71"/>
      <c r="AC6" s="71"/>
      <c r="AD6" s="71"/>
      <c r="AE6" s="71"/>
      <c r="AF6" s="71"/>
      <c r="AG6" s="71"/>
    </row>
    <row r="7" spans="1:33" ht="14.25" customHeight="1" x14ac:dyDescent="0.2">
      <c r="C7" s="153" t="s">
        <v>179</v>
      </c>
      <c r="D7" s="153"/>
      <c r="E7" s="154"/>
      <c r="F7" s="71"/>
      <c r="G7" s="71"/>
      <c r="H7" s="71"/>
      <c r="I7" s="155" t="s">
        <v>175</v>
      </c>
      <c r="J7" s="155"/>
      <c r="K7" s="155"/>
      <c r="L7" s="71"/>
      <c r="M7" s="155" t="s">
        <v>236</v>
      </c>
      <c r="N7" s="165"/>
      <c r="O7" s="71"/>
      <c r="P7" s="155" t="s">
        <v>194</v>
      </c>
      <c r="Q7" s="155"/>
      <c r="R7" s="155"/>
      <c r="S7" s="155"/>
      <c r="T7" s="155"/>
      <c r="U7" s="155"/>
      <c r="V7" s="155"/>
      <c r="W7" s="155"/>
      <c r="X7" s="71"/>
      <c r="Y7" s="71"/>
      <c r="Z7" s="71"/>
      <c r="AA7" s="71"/>
      <c r="AB7" s="71"/>
      <c r="AC7" s="71"/>
      <c r="AD7" s="71"/>
      <c r="AE7" s="71"/>
      <c r="AF7" s="71"/>
      <c r="AG7" s="71"/>
    </row>
    <row r="8" spans="1:33" ht="14.25" customHeight="1" x14ac:dyDescent="0.2">
      <c r="C8" s="154"/>
      <c r="D8" s="154"/>
      <c r="E8" s="154"/>
      <c r="F8" s="71"/>
      <c r="G8" s="71"/>
      <c r="H8" s="71"/>
      <c r="I8" s="155"/>
      <c r="J8" s="155"/>
      <c r="K8" s="155"/>
      <c r="L8" s="71"/>
      <c r="M8" s="165"/>
      <c r="N8" s="165"/>
      <c r="O8" s="71"/>
      <c r="P8" s="155"/>
      <c r="Q8" s="155"/>
      <c r="R8" s="155"/>
      <c r="S8" s="155"/>
      <c r="T8" s="155"/>
      <c r="U8" s="155"/>
      <c r="V8" s="155"/>
      <c r="W8" s="155"/>
      <c r="X8" s="71"/>
      <c r="Y8" s="71"/>
      <c r="Z8" s="71"/>
      <c r="AA8" s="71"/>
      <c r="AB8" s="71"/>
      <c r="AC8" s="71"/>
      <c r="AD8" s="71"/>
      <c r="AE8" s="71"/>
      <c r="AF8" s="71"/>
      <c r="AG8" s="71"/>
    </row>
    <row r="9" spans="1:33" ht="14.25" customHeight="1" x14ac:dyDescent="0.2">
      <c r="C9" s="154"/>
      <c r="D9" s="154"/>
      <c r="E9" s="154"/>
      <c r="F9" s="71"/>
      <c r="G9" s="71"/>
      <c r="H9" s="71"/>
      <c r="I9" s="155"/>
      <c r="J9" s="155"/>
      <c r="K9" s="155"/>
      <c r="L9" s="71"/>
      <c r="M9" s="165"/>
      <c r="N9" s="165"/>
      <c r="O9" s="71"/>
      <c r="P9" s="155"/>
      <c r="Q9" s="155"/>
      <c r="R9" s="155"/>
      <c r="S9" s="155"/>
      <c r="T9" s="155"/>
      <c r="U9" s="155"/>
      <c r="V9" s="155"/>
      <c r="W9" s="155"/>
      <c r="X9" s="71"/>
      <c r="Y9" s="71"/>
      <c r="Z9" s="162"/>
      <c r="AA9" s="162"/>
      <c r="AB9" s="162"/>
      <c r="AC9" s="162"/>
      <c r="AD9" s="162"/>
      <c r="AE9" s="71"/>
      <c r="AF9" s="71"/>
      <c r="AG9" s="71"/>
    </row>
    <row r="10" spans="1:33" ht="33" customHeight="1" x14ac:dyDescent="0.2">
      <c r="C10" s="49" t="s">
        <v>176</v>
      </c>
      <c r="D10" s="49" t="s">
        <v>178</v>
      </c>
      <c r="E10" s="49" t="s">
        <v>77</v>
      </c>
      <c r="F10" s="71"/>
      <c r="G10" s="71"/>
      <c r="H10" s="71"/>
      <c r="I10" s="155"/>
      <c r="J10" s="155"/>
      <c r="K10" s="155"/>
      <c r="L10" s="71"/>
      <c r="M10" s="165"/>
      <c r="N10" s="165"/>
      <c r="O10" s="71"/>
      <c r="P10" s="155"/>
      <c r="Q10" s="155"/>
      <c r="R10" s="155"/>
      <c r="S10" s="155"/>
      <c r="T10" s="155"/>
      <c r="U10" s="155"/>
      <c r="V10" s="155"/>
      <c r="W10" s="155"/>
      <c r="X10" s="71"/>
      <c r="Y10" s="71"/>
      <c r="Z10" s="162"/>
      <c r="AA10" s="162"/>
      <c r="AB10" s="162"/>
      <c r="AC10" s="162"/>
      <c r="AD10" s="162"/>
      <c r="AE10" s="71"/>
      <c r="AF10" s="71"/>
      <c r="AG10" s="71"/>
    </row>
    <row r="11" spans="1:33" ht="17.45" customHeight="1" x14ac:dyDescent="0.2">
      <c r="C11" s="9" t="s">
        <v>8</v>
      </c>
      <c r="D11" s="4" t="s">
        <v>3</v>
      </c>
      <c r="E11" s="53">
        <f>总览!F6</f>
        <v>0</v>
      </c>
      <c r="F11" s="156"/>
      <c r="G11" s="157"/>
      <c r="H11" s="158"/>
      <c r="I11" s="51">
        <f>LARGE(E11:E25,1)</f>
        <v>0</v>
      </c>
      <c r="L11" s="71"/>
      <c r="M11" s="166" t="s">
        <v>237</v>
      </c>
      <c r="N11" s="161">
        <f ca="1">RANDBETWEEN(1,5)</f>
        <v>3</v>
      </c>
      <c r="O11" s="71"/>
      <c r="P11" s="163">
        <f ca="1">NOW()</f>
        <v>44745.791789930554</v>
      </c>
      <c r="Q11" s="163"/>
      <c r="R11" s="163"/>
      <c r="S11" s="163"/>
      <c r="T11" s="163"/>
      <c r="U11" s="163"/>
      <c r="V11" s="163"/>
      <c r="W11" s="163"/>
      <c r="X11" s="71"/>
      <c r="Y11" s="71"/>
      <c r="Z11" s="162"/>
      <c r="AA11" s="162"/>
      <c r="AB11" s="162"/>
      <c r="AC11" s="162"/>
      <c r="AD11" s="162"/>
      <c r="AE11" s="71"/>
      <c r="AF11" s="71"/>
      <c r="AG11" s="71"/>
    </row>
    <row r="12" spans="1:33" ht="17.45" customHeight="1" x14ac:dyDescent="0.2">
      <c r="C12" s="10" t="s">
        <v>11</v>
      </c>
      <c r="D12" s="4" t="s">
        <v>3</v>
      </c>
      <c r="E12" s="53">
        <f>总览!F7</f>
        <v>0</v>
      </c>
      <c r="F12" s="156"/>
      <c r="G12" s="157"/>
      <c r="H12" s="158"/>
      <c r="I12" s="51">
        <f>LARGE(E11:E25,2)</f>
        <v>0</v>
      </c>
      <c r="L12" s="71"/>
      <c r="M12" s="164"/>
      <c r="N12" s="161"/>
      <c r="O12" s="71"/>
      <c r="P12" s="159" t="s">
        <v>195</v>
      </c>
      <c r="Q12" s="159"/>
      <c r="R12" s="159"/>
      <c r="S12" s="159"/>
      <c r="T12" s="159" t="s">
        <v>202</v>
      </c>
      <c r="U12" s="159"/>
      <c r="V12" s="159"/>
      <c r="W12" s="159"/>
      <c r="X12" s="71"/>
      <c r="Y12" s="71"/>
      <c r="Z12" s="162"/>
      <c r="AA12" s="162"/>
      <c r="AB12" s="162"/>
      <c r="AC12" s="162"/>
      <c r="AD12" s="162"/>
      <c r="AE12" s="71"/>
      <c r="AF12" s="71"/>
      <c r="AG12" s="71"/>
    </row>
    <row r="13" spans="1:33" ht="17.45" customHeight="1" x14ac:dyDescent="0.2">
      <c r="C13" s="9" t="s">
        <v>10</v>
      </c>
      <c r="D13" s="4" t="s">
        <v>3</v>
      </c>
      <c r="E13" s="53">
        <f>总览!F8</f>
        <v>0</v>
      </c>
      <c r="F13" s="71"/>
      <c r="G13" s="71"/>
      <c r="H13" s="71"/>
      <c r="I13" s="51">
        <f>LARGE(E11:E25,3)</f>
        <v>0</v>
      </c>
      <c r="L13" s="71"/>
      <c r="M13" s="164"/>
      <c r="N13" s="161"/>
      <c r="O13" s="71"/>
      <c r="P13" s="160"/>
      <c r="Q13" s="160"/>
      <c r="R13" s="160"/>
      <c r="S13" s="160"/>
      <c r="T13" s="160"/>
      <c r="U13" s="160"/>
      <c r="V13" s="160"/>
      <c r="W13" s="160"/>
      <c r="X13" s="71"/>
      <c r="Y13" s="71"/>
      <c r="Z13" s="162"/>
      <c r="AA13" s="162"/>
      <c r="AB13" s="162"/>
      <c r="AC13" s="162"/>
      <c r="AD13" s="162"/>
      <c r="AE13" s="71"/>
      <c r="AF13" s="71"/>
      <c r="AG13" s="71"/>
    </row>
    <row r="14" spans="1:33" ht="17.45" customHeight="1" x14ac:dyDescent="0.2">
      <c r="C14" s="9" t="s">
        <v>12</v>
      </c>
      <c r="D14" s="4" t="s">
        <v>3</v>
      </c>
      <c r="E14" s="53">
        <f>总览!F9</f>
        <v>0</v>
      </c>
      <c r="F14" s="156"/>
      <c r="G14" s="157"/>
      <c r="H14" s="71"/>
      <c r="I14" s="51">
        <f>LARGE(E11:E25,4)</f>
        <v>0</v>
      </c>
      <c r="L14" s="71"/>
      <c r="M14" s="71"/>
      <c r="N14" s="71"/>
      <c r="O14" s="71"/>
      <c r="P14" s="164" t="s">
        <v>199</v>
      </c>
      <c r="Q14" s="161">
        <f ca="1">YEAR(P11)</f>
        <v>2022</v>
      </c>
      <c r="R14" s="161"/>
      <c r="S14" s="161"/>
      <c r="T14" s="161" t="str">
        <f ca="1">IF(Q20="","",IF(AND(Q20&gt;=5,Q20&lt;=8),"早上好",IF(AND(Q20&gt;=9,Q20&lt;=10),"上午好",IF(AND(Q20&gt;=11,Q20&lt;=12),"中午好",IF(AND(Q20&gt;=13,Q20&lt;=18),"下午好",IF(AND(Q20&gt;=19,Q20&lt;=22),"晚上好",IF(AND(Q20=23),"凌晨好",IF(AND(Q20&gt;=0,Q20&lt;=4),"凌晨好",Q20))))))))</f>
        <v>晚上好</v>
      </c>
      <c r="U14" s="161"/>
      <c r="V14" s="161"/>
      <c r="W14" s="161"/>
      <c r="X14" s="71"/>
      <c r="Y14" s="71"/>
      <c r="Z14" s="72"/>
      <c r="AA14" s="72"/>
      <c r="AB14" s="72"/>
      <c r="AC14" s="72"/>
      <c r="AD14" s="72"/>
      <c r="AE14" s="71"/>
      <c r="AF14" s="71"/>
      <c r="AG14" s="71"/>
    </row>
    <row r="15" spans="1:33" ht="17.45" customHeight="1" x14ac:dyDescent="0.2">
      <c r="C15" s="11" t="s">
        <v>13</v>
      </c>
      <c r="D15" s="4" t="s">
        <v>3</v>
      </c>
      <c r="E15" s="53">
        <f>总览!F10</f>
        <v>0</v>
      </c>
      <c r="F15" s="71"/>
      <c r="G15" s="71"/>
      <c r="H15" s="71"/>
      <c r="I15" s="51">
        <f>LARGE(E11:E25,5)</f>
        <v>0</v>
      </c>
      <c r="L15" s="71"/>
      <c r="M15" s="71"/>
      <c r="N15" s="71"/>
      <c r="O15" s="71"/>
      <c r="P15" s="164"/>
      <c r="Q15" s="161"/>
      <c r="R15" s="161"/>
      <c r="S15" s="161"/>
      <c r="T15" s="161"/>
      <c r="U15" s="161"/>
      <c r="V15" s="161"/>
      <c r="W15" s="161"/>
      <c r="X15" s="71"/>
      <c r="Y15" s="71"/>
      <c r="Z15" s="72"/>
      <c r="AA15" s="72"/>
      <c r="AB15" s="72"/>
      <c r="AC15" s="72"/>
      <c r="AD15" s="72"/>
      <c r="AE15" s="71"/>
      <c r="AF15" s="71"/>
      <c r="AG15" s="71"/>
    </row>
    <row r="16" spans="1:33" ht="17.45" customHeight="1" x14ac:dyDescent="0.2">
      <c r="C16" s="9" t="s">
        <v>14</v>
      </c>
      <c r="D16" s="4" t="s">
        <v>3</v>
      </c>
      <c r="E16" s="53">
        <f>总览!F11</f>
        <v>0</v>
      </c>
      <c r="F16" s="71"/>
      <c r="G16" s="71"/>
      <c r="H16" s="71"/>
      <c r="I16" s="51">
        <f>LARGE(E11:E25,6)</f>
        <v>0</v>
      </c>
      <c r="L16" s="71"/>
      <c r="M16" s="71"/>
      <c r="N16" s="71"/>
      <c r="O16" s="71"/>
      <c r="P16" s="164" t="s">
        <v>200</v>
      </c>
      <c r="Q16" s="168">
        <f ca="1">MONTH(P11)</f>
        <v>7</v>
      </c>
      <c r="R16" s="168"/>
      <c r="S16" s="168"/>
      <c r="T16" s="161" t="str">
        <f ca="1">IF(Q20="","",IF(AND(Q20&gt;=5,Q20&lt;=8),"Good Morning",IF(AND(Q20&gt;=9,Q20&lt;=10),"Good Morning",IF(AND(Q20&gt;=11,Q20&lt;=12),"Good Afternoon",IF(AND(Q20&gt;=13,Q20&lt;=18),"Good Afternoon",IF(AND(Q20&gt;=19,Q20&lt;=22),"Good Evening",IF(AND(Q20=23),"Good Evening",IF(AND(Q20&gt;=0,Q20&lt;=4),"Good Evening",Q20))))))))</f>
        <v>Good Evening</v>
      </c>
      <c r="U16" s="161"/>
      <c r="V16" s="161"/>
      <c r="W16" s="161"/>
      <c r="X16" s="71"/>
      <c r="Y16" s="71"/>
      <c r="Z16" s="72"/>
      <c r="AA16" s="162"/>
      <c r="AB16" s="162"/>
      <c r="AC16" s="162"/>
      <c r="AD16" s="72"/>
      <c r="AE16" s="71"/>
      <c r="AF16" s="71"/>
      <c r="AG16" s="71"/>
    </row>
    <row r="17" spans="3:33" ht="17.45" customHeight="1" x14ac:dyDescent="0.2">
      <c r="C17" s="9" t="s">
        <v>15</v>
      </c>
      <c r="D17" s="4" t="s">
        <v>3</v>
      </c>
      <c r="E17" s="53">
        <f>总览!F12</f>
        <v>0</v>
      </c>
      <c r="F17" s="71"/>
      <c r="G17" s="71"/>
      <c r="H17" s="71"/>
      <c r="I17" s="51">
        <f>LARGE(E11:E25,7)</f>
        <v>0</v>
      </c>
      <c r="L17" s="71"/>
      <c r="M17" s="71"/>
      <c r="N17" s="71"/>
      <c r="O17" s="71"/>
      <c r="P17" s="164"/>
      <c r="Q17" s="168"/>
      <c r="R17" s="168"/>
      <c r="S17" s="168"/>
      <c r="T17" s="161"/>
      <c r="U17" s="161"/>
      <c r="V17" s="161"/>
      <c r="W17" s="161"/>
      <c r="X17" s="71"/>
      <c r="Y17" s="71"/>
      <c r="Z17" s="72"/>
      <c r="AA17" s="72"/>
      <c r="AB17" s="72"/>
      <c r="AC17" s="72"/>
      <c r="AD17" s="72"/>
      <c r="AE17" s="71"/>
      <c r="AF17" s="71"/>
      <c r="AG17" s="71"/>
    </row>
    <row r="18" spans="3:33" ht="17.45" customHeight="1" x14ac:dyDescent="0.2">
      <c r="C18" s="9" t="s">
        <v>16</v>
      </c>
      <c r="D18" s="4" t="s">
        <v>3</v>
      </c>
      <c r="E18" s="53">
        <f>总览!F13</f>
        <v>0</v>
      </c>
      <c r="F18" s="71"/>
      <c r="G18" s="71"/>
      <c r="H18" s="71"/>
      <c r="I18" s="51">
        <f>LARGE(E17:E31,2)</f>
        <v>0</v>
      </c>
      <c r="L18" s="71"/>
      <c r="M18" s="71"/>
      <c r="N18" s="71"/>
      <c r="O18" s="71"/>
      <c r="P18" s="164" t="s">
        <v>201</v>
      </c>
      <c r="Q18" s="168">
        <f ca="1">DAY(P11)</f>
        <v>3</v>
      </c>
      <c r="R18" s="168"/>
      <c r="S18" s="168"/>
      <c r="T18" s="71"/>
      <c r="U18" s="71"/>
      <c r="V18" s="71"/>
      <c r="W18" s="71"/>
      <c r="X18" s="71"/>
      <c r="Y18" s="71"/>
      <c r="Z18" s="72"/>
      <c r="AA18" s="72"/>
      <c r="AB18" s="72"/>
      <c r="AC18" s="72"/>
      <c r="AD18" s="72"/>
      <c r="AE18" s="71"/>
      <c r="AF18" s="71"/>
      <c r="AG18" s="71"/>
    </row>
    <row r="19" spans="3:33" ht="17.45" customHeight="1" x14ac:dyDescent="0.2">
      <c r="C19" s="9" t="s">
        <v>17</v>
      </c>
      <c r="D19" s="4" t="s">
        <v>3</v>
      </c>
      <c r="E19" s="53">
        <f>总览!F14</f>
        <v>0</v>
      </c>
      <c r="F19" s="71"/>
      <c r="G19" s="71"/>
      <c r="H19" s="71"/>
      <c r="I19" s="51">
        <f t="shared" ref="I19" si="0">LARGE(E17:E31,3)</f>
        <v>0</v>
      </c>
      <c r="L19" s="71"/>
      <c r="M19" s="71"/>
      <c r="N19" s="71"/>
      <c r="O19" s="71"/>
      <c r="P19" s="164"/>
      <c r="Q19" s="168"/>
      <c r="R19" s="168"/>
      <c r="S19" s="168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</row>
    <row r="20" spans="3:33" ht="17.45" customHeight="1" x14ac:dyDescent="0.2">
      <c r="C20" s="12" t="s">
        <v>18</v>
      </c>
      <c r="D20" s="4" t="s">
        <v>3</v>
      </c>
      <c r="E20" s="53">
        <f>总览!F15</f>
        <v>0</v>
      </c>
      <c r="F20" s="71"/>
      <c r="G20" s="71"/>
      <c r="H20" s="71"/>
      <c r="I20" s="51">
        <f t="shared" ref="I20" si="1">LARGE(E17:E31,4)</f>
        <v>0</v>
      </c>
      <c r="L20" s="71"/>
      <c r="M20" s="71"/>
      <c r="N20" s="71"/>
      <c r="O20" s="71"/>
      <c r="P20" s="164" t="s">
        <v>196</v>
      </c>
      <c r="Q20" s="168">
        <f ca="1">HOUR(P11)</f>
        <v>19</v>
      </c>
      <c r="R20" s="168"/>
      <c r="S20" s="168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</row>
    <row r="21" spans="3:33" ht="17.45" customHeight="1" x14ac:dyDescent="0.2">
      <c r="C21" s="9" t="s">
        <v>19</v>
      </c>
      <c r="D21" s="4" t="s">
        <v>3</v>
      </c>
      <c r="E21" s="53">
        <f>总览!F16</f>
        <v>0</v>
      </c>
      <c r="F21" s="71"/>
      <c r="G21" s="71"/>
      <c r="H21" s="71"/>
      <c r="I21" s="51">
        <f t="shared" ref="I21" si="2">LARGE(E17:E31,5)</f>
        <v>0</v>
      </c>
      <c r="L21" s="71"/>
      <c r="M21" s="71"/>
      <c r="N21" s="71"/>
      <c r="O21" s="71"/>
      <c r="P21" s="164"/>
      <c r="Q21" s="168"/>
      <c r="R21" s="168"/>
      <c r="S21" s="168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</row>
    <row r="22" spans="3:33" ht="17.45" customHeight="1" x14ac:dyDescent="0.2">
      <c r="C22" s="9" t="s">
        <v>20</v>
      </c>
      <c r="D22" s="4" t="s">
        <v>3</v>
      </c>
      <c r="E22" s="53">
        <f>总览!F17</f>
        <v>0</v>
      </c>
      <c r="F22" s="71"/>
      <c r="G22" s="71"/>
      <c r="H22" s="71"/>
      <c r="I22" s="51">
        <f t="shared" ref="I22" si="3">LARGE(E17:E31,6)</f>
        <v>0</v>
      </c>
      <c r="L22" s="71"/>
      <c r="M22" s="71"/>
      <c r="N22" s="71"/>
      <c r="O22" s="71"/>
      <c r="P22" s="164" t="s">
        <v>197</v>
      </c>
      <c r="Q22" s="168">
        <f ca="1">MINUTE(P11)</f>
        <v>0</v>
      </c>
      <c r="R22" s="168"/>
      <c r="S22" s="168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</row>
    <row r="23" spans="3:33" ht="17.45" customHeight="1" x14ac:dyDescent="0.2">
      <c r="C23" s="9" t="s">
        <v>21</v>
      </c>
      <c r="D23" s="4" t="s">
        <v>3</v>
      </c>
      <c r="E23" s="53">
        <f>总览!F18</f>
        <v>0</v>
      </c>
      <c r="F23" s="71"/>
      <c r="G23" s="71"/>
      <c r="H23" s="71"/>
      <c r="I23" s="51">
        <f t="shared" ref="I23" si="4">LARGE(E23:E37,1)</f>
        <v>0</v>
      </c>
      <c r="L23" s="71"/>
      <c r="M23" s="71"/>
      <c r="N23" s="71"/>
      <c r="O23" s="71"/>
      <c r="P23" s="164"/>
      <c r="Q23" s="168"/>
      <c r="R23" s="168"/>
      <c r="S23" s="168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</row>
    <row r="24" spans="3:33" ht="17.45" customHeight="1" x14ac:dyDescent="0.2">
      <c r="C24" s="9" t="s">
        <v>22</v>
      </c>
      <c r="D24" s="4" t="s">
        <v>3</v>
      </c>
      <c r="E24" s="53">
        <f>总览!F19</f>
        <v>0</v>
      </c>
      <c r="F24" s="71"/>
      <c r="G24" s="71"/>
      <c r="H24" s="71"/>
      <c r="I24" s="51">
        <f t="shared" ref="I24" si="5">LARGE(E23:E37,2)</f>
        <v>0</v>
      </c>
      <c r="L24" s="71"/>
      <c r="M24" s="71"/>
      <c r="N24" s="71"/>
      <c r="O24" s="71"/>
      <c r="P24" s="164" t="s">
        <v>198</v>
      </c>
      <c r="Q24" s="168">
        <f ca="1">SECOND(P11)</f>
        <v>11</v>
      </c>
      <c r="R24" s="168"/>
      <c r="S24" s="168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</row>
    <row r="25" spans="3:33" ht="17.45" customHeight="1" x14ac:dyDescent="0.2">
      <c r="C25" s="13" t="s">
        <v>23</v>
      </c>
      <c r="D25" s="4" t="s">
        <v>3</v>
      </c>
      <c r="E25" s="53">
        <f>总览!F20</f>
        <v>0</v>
      </c>
      <c r="F25" s="71"/>
      <c r="G25" s="71"/>
      <c r="H25" s="71"/>
      <c r="I25" s="51">
        <f t="shared" ref="I25" si="6">LARGE(E23:E37,3)</f>
        <v>0</v>
      </c>
      <c r="L25" s="71"/>
      <c r="M25" s="71"/>
      <c r="N25" s="71"/>
      <c r="O25" s="71"/>
      <c r="P25" s="164"/>
      <c r="Q25" s="168"/>
      <c r="R25" s="168"/>
      <c r="S25" s="168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</row>
    <row r="26" spans="3:33" ht="17.45" customHeight="1" x14ac:dyDescent="0.2">
      <c r="C26" s="9" t="s">
        <v>8</v>
      </c>
      <c r="D26" s="4" t="s">
        <v>4</v>
      </c>
      <c r="E26" s="53">
        <f>总览!K6</f>
        <v>0</v>
      </c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</row>
    <row r="27" spans="3:33" ht="17.45" customHeight="1" x14ac:dyDescent="0.2">
      <c r="C27" s="10" t="s">
        <v>11</v>
      </c>
      <c r="D27" s="4" t="s">
        <v>4</v>
      </c>
      <c r="E27" s="53">
        <f>总览!K7</f>
        <v>0</v>
      </c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151" t="s">
        <v>260</v>
      </c>
      <c r="AA27" s="151"/>
      <c r="AB27" s="151"/>
      <c r="AC27" s="151"/>
      <c r="AD27" s="151"/>
      <c r="AE27" s="71"/>
      <c r="AF27" s="71"/>
      <c r="AG27" s="71"/>
    </row>
    <row r="28" spans="3:33" ht="17.45" customHeight="1" x14ac:dyDescent="0.2">
      <c r="C28" s="9" t="s">
        <v>10</v>
      </c>
      <c r="D28" s="4" t="s">
        <v>4</v>
      </c>
      <c r="E28" s="53">
        <f>总览!K8</f>
        <v>0</v>
      </c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155" t="s">
        <v>238</v>
      </c>
      <c r="Q28" s="155"/>
      <c r="R28" s="155"/>
      <c r="S28" s="155"/>
      <c r="T28" s="155"/>
      <c r="U28" s="155"/>
      <c r="V28" s="155"/>
      <c r="W28" s="155"/>
      <c r="X28" s="71"/>
      <c r="Y28" s="71"/>
      <c r="Z28" s="151"/>
      <c r="AA28" s="151"/>
      <c r="AB28" s="151"/>
      <c r="AC28" s="151"/>
      <c r="AD28" s="151"/>
      <c r="AE28" s="71"/>
      <c r="AF28" s="71"/>
      <c r="AG28" s="71"/>
    </row>
    <row r="29" spans="3:33" ht="17.45" customHeight="1" x14ac:dyDescent="0.2">
      <c r="C29" s="9" t="s">
        <v>12</v>
      </c>
      <c r="D29" s="4" t="s">
        <v>4</v>
      </c>
      <c r="E29" s="53">
        <f>总览!K9</f>
        <v>0</v>
      </c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155"/>
      <c r="Q29" s="155"/>
      <c r="R29" s="155"/>
      <c r="S29" s="155"/>
      <c r="T29" s="155"/>
      <c r="U29" s="155"/>
      <c r="V29" s="155"/>
      <c r="W29" s="155"/>
      <c r="X29" s="71"/>
      <c r="Y29" s="71"/>
      <c r="Z29" s="174" t="s">
        <v>259</v>
      </c>
      <c r="AA29" s="175"/>
      <c r="AB29" s="175"/>
      <c r="AC29" s="175"/>
      <c r="AD29" s="175"/>
      <c r="AE29" s="71"/>
      <c r="AF29" s="71"/>
      <c r="AG29" s="71"/>
    </row>
    <row r="30" spans="3:33" ht="17.45" customHeight="1" x14ac:dyDescent="0.2">
      <c r="C30" s="11" t="s">
        <v>13</v>
      </c>
      <c r="D30" s="4" t="s">
        <v>4</v>
      </c>
      <c r="E30" s="53">
        <f>总览!K10</f>
        <v>0</v>
      </c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155"/>
      <c r="Q30" s="155"/>
      <c r="R30" s="155"/>
      <c r="S30" s="155"/>
      <c r="T30" s="155"/>
      <c r="U30" s="155"/>
      <c r="V30" s="155"/>
      <c r="W30" s="155"/>
      <c r="X30" s="71"/>
      <c r="Y30" s="71"/>
      <c r="Z30" s="175"/>
      <c r="AA30" s="175"/>
      <c r="AB30" s="175"/>
      <c r="AC30" s="175"/>
      <c r="AD30" s="175"/>
      <c r="AE30" s="71"/>
      <c r="AF30" s="71"/>
      <c r="AG30" s="71"/>
    </row>
    <row r="31" spans="3:33" ht="17.45" customHeight="1" x14ac:dyDescent="0.2">
      <c r="C31" s="9" t="s">
        <v>14</v>
      </c>
      <c r="D31" s="4" t="s">
        <v>4</v>
      </c>
      <c r="E31" s="53">
        <f>总览!K11</f>
        <v>0</v>
      </c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155"/>
      <c r="Q31" s="155"/>
      <c r="R31" s="155"/>
      <c r="S31" s="155"/>
      <c r="T31" s="155"/>
      <c r="U31" s="155"/>
      <c r="V31" s="155"/>
      <c r="W31" s="155"/>
      <c r="X31" s="71"/>
      <c r="Y31" s="71"/>
      <c r="Z31" s="175"/>
      <c r="AA31" s="175"/>
      <c r="AB31" s="175"/>
      <c r="AC31" s="175"/>
      <c r="AD31" s="175"/>
      <c r="AE31" s="71"/>
      <c r="AF31" s="71"/>
      <c r="AG31" s="71"/>
    </row>
    <row r="32" spans="3:33" ht="17.45" customHeight="1" x14ac:dyDescent="0.2">
      <c r="C32" s="9" t="s">
        <v>15</v>
      </c>
      <c r="D32" s="4" t="s">
        <v>4</v>
      </c>
      <c r="E32" s="53">
        <f>总览!K12</f>
        <v>0</v>
      </c>
      <c r="F32" s="71"/>
      <c r="G32" s="71"/>
      <c r="H32" s="71"/>
      <c r="I32" s="71"/>
      <c r="J32" s="71"/>
      <c r="K32" s="71"/>
      <c r="L32" s="71"/>
      <c r="M32" s="71"/>
      <c r="N32" s="71"/>
      <c r="O32" s="71"/>
      <c r="P32" s="155"/>
      <c r="Q32" s="155"/>
      <c r="R32" s="155"/>
      <c r="S32" s="155"/>
      <c r="T32" s="155"/>
      <c r="U32" s="155"/>
      <c r="V32" s="155"/>
      <c r="W32" s="155"/>
      <c r="X32" s="71"/>
      <c r="Y32" s="71"/>
      <c r="Z32" s="175"/>
      <c r="AA32" s="175"/>
      <c r="AB32" s="175"/>
      <c r="AC32" s="175"/>
      <c r="AD32" s="175"/>
      <c r="AE32" s="71"/>
      <c r="AF32" s="71"/>
      <c r="AG32" s="71"/>
    </row>
    <row r="33" spans="3:33" ht="17.45" customHeight="1" x14ac:dyDescent="0.2">
      <c r="C33" s="9" t="s">
        <v>16</v>
      </c>
      <c r="D33" s="4" t="s">
        <v>4</v>
      </c>
      <c r="E33" s="53">
        <f>总览!K13</f>
        <v>0</v>
      </c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0">
        <v>1</v>
      </c>
      <c r="Q33" s="167" t="s">
        <v>239</v>
      </c>
      <c r="R33" s="167"/>
      <c r="S33" s="167"/>
      <c r="T33" s="67" t="s">
        <v>244</v>
      </c>
      <c r="U33" s="167">
        <f ca="1">N11</f>
        <v>3</v>
      </c>
      <c r="V33" s="167"/>
      <c r="W33" s="167"/>
      <c r="X33" s="71"/>
      <c r="Y33" s="71"/>
      <c r="Z33" s="175"/>
      <c r="AA33" s="175"/>
      <c r="AB33" s="175"/>
      <c r="AC33" s="175"/>
      <c r="AD33" s="175"/>
      <c r="AE33" s="71"/>
      <c r="AF33" s="71"/>
      <c r="AG33" s="71"/>
    </row>
    <row r="34" spans="3:33" ht="17.45" customHeight="1" x14ac:dyDescent="0.2">
      <c r="C34" s="9" t="s">
        <v>17</v>
      </c>
      <c r="D34" s="4" t="s">
        <v>4</v>
      </c>
      <c r="E34" s="53">
        <f>总览!K14</f>
        <v>0</v>
      </c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0">
        <v>2</v>
      </c>
      <c r="Q34" s="167" t="s">
        <v>240</v>
      </c>
      <c r="R34" s="167"/>
      <c r="S34" s="167"/>
      <c r="T34" s="70" t="s">
        <v>245</v>
      </c>
      <c r="U34" s="171" t="str">
        <f ca="1">IF(U33="","",IF(AND(U33=1),Q33,IF(AND(U33=2),Q34,IF(AND(U33=3),Q35,IF(AND(U33=4),Q36,IF(AND(U33=5),Q37,U33))))))</f>
        <v>鸠</v>
      </c>
      <c r="V34" s="172"/>
      <c r="W34" s="173"/>
      <c r="X34" s="71"/>
      <c r="Y34" s="71"/>
      <c r="Z34" s="175"/>
      <c r="AA34" s="175"/>
      <c r="AB34" s="175"/>
      <c r="AC34" s="175"/>
      <c r="AD34" s="175"/>
      <c r="AE34" s="71"/>
      <c r="AF34" s="71"/>
      <c r="AG34" s="71"/>
    </row>
    <row r="35" spans="3:33" ht="17.45" customHeight="1" x14ac:dyDescent="0.2">
      <c r="C35" s="12" t="s">
        <v>18</v>
      </c>
      <c r="D35" s="4" t="s">
        <v>4</v>
      </c>
      <c r="E35" s="53">
        <f>总览!K15</f>
        <v>0</v>
      </c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0">
        <v>3</v>
      </c>
      <c r="Q35" s="167" t="s">
        <v>241</v>
      </c>
      <c r="R35" s="167"/>
      <c r="S35" s="167"/>
      <c r="T35" s="71"/>
      <c r="U35" s="71"/>
      <c r="V35" s="71"/>
      <c r="W35" s="71"/>
      <c r="X35" s="71"/>
      <c r="Y35" s="71"/>
      <c r="Z35" s="175"/>
      <c r="AA35" s="175"/>
      <c r="AB35" s="175"/>
      <c r="AC35" s="175"/>
      <c r="AD35" s="175"/>
      <c r="AE35" s="71"/>
      <c r="AF35" s="71"/>
      <c r="AG35" s="71"/>
    </row>
    <row r="36" spans="3:33" ht="17.45" customHeight="1" x14ac:dyDescent="0.2">
      <c r="C36" s="9" t="s">
        <v>19</v>
      </c>
      <c r="D36" s="4" t="s">
        <v>4</v>
      </c>
      <c r="E36" s="53">
        <f>总览!K16</f>
        <v>0</v>
      </c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0">
        <v>4</v>
      </c>
      <c r="Q36" s="167" t="s">
        <v>242</v>
      </c>
      <c r="R36" s="167"/>
      <c r="S36" s="167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</row>
    <row r="37" spans="3:33" ht="17.45" customHeight="1" x14ac:dyDescent="0.2">
      <c r="C37" s="9" t="s">
        <v>20</v>
      </c>
      <c r="D37" s="4" t="s">
        <v>4</v>
      </c>
      <c r="E37" s="53">
        <f>总览!K17</f>
        <v>0</v>
      </c>
      <c r="F37" s="71"/>
      <c r="G37" s="71"/>
      <c r="H37" s="71"/>
      <c r="I37" s="71"/>
      <c r="J37" s="71"/>
      <c r="K37" s="71"/>
      <c r="L37" s="71"/>
      <c r="M37" s="71"/>
      <c r="N37" s="71"/>
      <c r="O37" s="71"/>
      <c r="P37" s="70">
        <v>5</v>
      </c>
      <c r="Q37" s="167" t="s">
        <v>243</v>
      </c>
      <c r="R37" s="167"/>
      <c r="S37" s="167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</row>
    <row r="38" spans="3:33" ht="17.45" customHeight="1" x14ac:dyDescent="0.2">
      <c r="C38" s="9" t="s">
        <v>21</v>
      </c>
      <c r="D38" s="4" t="s">
        <v>4</v>
      </c>
      <c r="E38" s="53">
        <f>总览!K18</f>
        <v>0</v>
      </c>
      <c r="F38" s="71"/>
      <c r="G38" s="71"/>
      <c r="H38" s="71"/>
      <c r="I38" s="71"/>
      <c r="J38" s="71"/>
      <c r="K38" s="71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</row>
    <row r="39" spans="3:33" ht="17.45" customHeight="1" x14ac:dyDescent="0.2">
      <c r="C39" s="9" t="s">
        <v>22</v>
      </c>
      <c r="D39" s="4" t="s">
        <v>4</v>
      </c>
      <c r="E39" s="53">
        <f>总览!K19</f>
        <v>0</v>
      </c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 t="b">
        <f ca="1">IF(U33=1,Y39+1)</f>
        <v>0</v>
      </c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</row>
    <row r="40" spans="3:33" ht="17.45" customHeight="1" x14ac:dyDescent="0.2">
      <c r="C40" s="13" t="s">
        <v>23</v>
      </c>
      <c r="D40" s="4" t="s">
        <v>4</v>
      </c>
      <c r="E40" s="53">
        <f>总览!K20</f>
        <v>0</v>
      </c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</row>
    <row r="41" spans="3:33" ht="17.45" customHeight="1" x14ac:dyDescent="0.2">
      <c r="C41" s="9" t="s">
        <v>8</v>
      </c>
      <c r="D41" s="4" t="s">
        <v>5</v>
      </c>
      <c r="E41" s="53">
        <f>总览!P6</f>
        <v>0</v>
      </c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3:33" ht="17.45" customHeight="1" x14ac:dyDescent="0.2">
      <c r="C42" s="10" t="s">
        <v>11</v>
      </c>
      <c r="D42" s="4" t="s">
        <v>5</v>
      </c>
      <c r="E42" s="53">
        <f>总览!P7</f>
        <v>0</v>
      </c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</row>
    <row r="43" spans="3:33" ht="17.45" customHeight="1" x14ac:dyDescent="0.2">
      <c r="C43" s="9" t="s">
        <v>10</v>
      </c>
      <c r="D43" s="4" t="s">
        <v>5</v>
      </c>
      <c r="E43" s="53">
        <f>总览!P8</f>
        <v>0</v>
      </c>
      <c r="F43" s="71"/>
      <c r="G43" s="71"/>
      <c r="H43" s="71"/>
      <c r="I43" s="71"/>
      <c r="J43" s="71"/>
      <c r="K43" s="71"/>
      <c r="L43" s="71"/>
      <c r="M43" s="71"/>
      <c r="N43" s="71"/>
      <c r="O43" s="71"/>
      <c r="P43" s="169" t="s">
        <v>251</v>
      </c>
      <c r="Q43" s="170"/>
      <c r="R43" s="170"/>
      <c r="S43" s="170"/>
      <c r="T43" s="170"/>
      <c r="U43" s="170"/>
      <c r="V43" s="170"/>
      <c r="W43" s="170"/>
      <c r="X43" s="170"/>
      <c r="Y43" s="170"/>
      <c r="Z43" s="170"/>
      <c r="AA43" s="170"/>
      <c r="AB43" s="170"/>
      <c r="AC43" s="170"/>
      <c r="AD43" s="71"/>
      <c r="AE43" s="71"/>
      <c r="AF43" s="71"/>
      <c r="AG43" s="71"/>
    </row>
    <row r="44" spans="3:33" ht="17.45" customHeight="1" x14ac:dyDescent="0.2">
      <c r="C44" s="9" t="s">
        <v>12</v>
      </c>
      <c r="D44" s="4" t="s">
        <v>5</v>
      </c>
      <c r="E44" s="53">
        <f>总览!P9</f>
        <v>0</v>
      </c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170"/>
      <c r="Q44" s="170"/>
      <c r="R44" s="170"/>
      <c r="S44" s="170"/>
      <c r="T44" s="170"/>
      <c r="U44" s="170"/>
      <c r="V44" s="170"/>
      <c r="W44" s="170"/>
      <c r="X44" s="170"/>
      <c r="Y44" s="170"/>
      <c r="Z44" s="170"/>
      <c r="AA44" s="170"/>
      <c r="AB44" s="170"/>
      <c r="AC44" s="170"/>
      <c r="AD44" s="71"/>
      <c r="AE44" s="71"/>
      <c r="AF44" s="71"/>
      <c r="AG44" s="71"/>
    </row>
    <row r="45" spans="3:33" ht="17.45" customHeight="1" x14ac:dyDescent="0.2">
      <c r="C45" s="11" t="s">
        <v>13</v>
      </c>
      <c r="D45" s="4" t="s">
        <v>5</v>
      </c>
      <c r="E45" s="53">
        <f>总览!P10</f>
        <v>0</v>
      </c>
      <c r="F45" s="71"/>
      <c r="G45" s="71"/>
      <c r="H45" s="71"/>
      <c r="I45" s="71"/>
      <c r="J45" s="71"/>
      <c r="K45" s="71"/>
      <c r="L45" s="71"/>
      <c r="M45" s="71"/>
      <c r="N45" s="71"/>
      <c r="O45" s="71"/>
      <c r="P45" s="170"/>
      <c r="Q45" s="170"/>
      <c r="R45" s="170"/>
      <c r="S45" s="170"/>
      <c r="T45" s="170"/>
      <c r="U45" s="170"/>
      <c r="V45" s="170"/>
      <c r="W45" s="170"/>
      <c r="X45" s="170"/>
      <c r="Y45" s="170"/>
      <c r="Z45" s="170"/>
      <c r="AA45" s="170"/>
      <c r="AB45" s="170"/>
      <c r="AC45" s="170"/>
      <c r="AD45" s="71"/>
      <c r="AE45" s="71"/>
      <c r="AF45" s="71"/>
      <c r="AG45" s="71"/>
    </row>
    <row r="46" spans="3:33" ht="17.45" customHeight="1" x14ac:dyDescent="0.2">
      <c r="C46" s="9" t="s">
        <v>14</v>
      </c>
      <c r="D46" s="4" t="s">
        <v>5</v>
      </c>
      <c r="E46" s="53">
        <f>总览!P11</f>
        <v>0</v>
      </c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170"/>
      <c r="Q46" s="170"/>
      <c r="R46" s="170"/>
      <c r="S46" s="170"/>
      <c r="T46" s="170"/>
      <c r="U46" s="170"/>
      <c r="V46" s="170"/>
      <c r="W46" s="170"/>
      <c r="X46" s="170"/>
      <c r="Y46" s="170"/>
      <c r="Z46" s="170"/>
      <c r="AA46" s="170"/>
      <c r="AB46" s="170"/>
      <c r="AC46" s="170"/>
      <c r="AD46" s="71"/>
      <c r="AE46" s="71"/>
      <c r="AF46" s="71"/>
      <c r="AG46" s="71"/>
    </row>
    <row r="47" spans="3:33" ht="17.45" customHeight="1" x14ac:dyDescent="0.2">
      <c r="C47" s="9" t="s">
        <v>15</v>
      </c>
      <c r="D47" s="4" t="s">
        <v>5</v>
      </c>
      <c r="E47" s="53">
        <f>总览!P12</f>
        <v>0</v>
      </c>
      <c r="F47" s="71"/>
      <c r="G47" s="71"/>
      <c r="H47" s="71"/>
      <c r="I47" s="71"/>
      <c r="J47" s="71"/>
      <c r="K47" s="71"/>
      <c r="L47" s="71"/>
      <c r="M47" s="71"/>
      <c r="N47" s="71"/>
      <c r="O47" s="71"/>
      <c r="P47" s="170"/>
      <c r="Q47" s="170"/>
      <c r="R47" s="170"/>
      <c r="S47" s="170"/>
      <c r="T47" s="170"/>
      <c r="U47" s="170"/>
      <c r="V47" s="170"/>
      <c r="W47" s="170"/>
      <c r="X47" s="170"/>
      <c r="Y47" s="170"/>
      <c r="Z47" s="170"/>
      <c r="AA47" s="170"/>
      <c r="AB47" s="170"/>
      <c r="AC47" s="170"/>
      <c r="AD47" s="71"/>
      <c r="AE47" s="71"/>
      <c r="AF47" s="71"/>
      <c r="AG47" s="71"/>
    </row>
    <row r="48" spans="3:33" ht="17.45" customHeight="1" x14ac:dyDescent="0.2">
      <c r="C48" s="9" t="s">
        <v>16</v>
      </c>
      <c r="D48" s="4" t="s">
        <v>5</v>
      </c>
      <c r="E48" s="53">
        <f>总览!P13</f>
        <v>0</v>
      </c>
      <c r="F48" s="71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</row>
    <row r="49" spans="3:33" ht="17.45" customHeight="1" x14ac:dyDescent="0.2">
      <c r="C49" s="9" t="s">
        <v>17</v>
      </c>
      <c r="D49" s="4" t="s">
        <v>5</v>
      </c>
      <c r="E49" s="53">
        <f>总览!P14</f>
        <v>0</v>
      </c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</row>
    <row r="50" spans="3:33" ht="17.45" customHeight="1" x14ac:dyDescent="0.2">
      <c r="C50" s="12" t="s">
        <v>18</v>
      </c>
      <c r="D50" s="4" t="s">
        <v>5</v>
      </c>
      <c r="E50" s="53">
        <f>总览!P15</f>
        <v>0</v>
      </c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/>
    </row>
    <row r="51" spans="3:33" ht="17.45" customHeight="1" x14ac:dyDescent="0.2">
      <c r="C51" s="9" t="s">
        <v>19</v>
      </c>
      <c r="D51" s="4" t="s">
        <v>5</v>
      </c>
      <c r="E51" s="53">
        <f>总览!P16</f>
        <v>0</v>
      </c>
      <c r="F51" s="71"/>
      <c r="G51" s="71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</row>
    <row r="52" spans="3:33" ht="17.45" customHeight="1" x14ac:dyDescent="0.2">
      <c r="C52" s="9" t="s">
        <v>20</v>
      </c>
      <c r="D52" s="4" t="s">
        <v>5</v>
      </c>
      <c r="E52" s="53">
        <f>总览!P17</f>
        <v>0</v>
      </c>
      <c r="F52" s="71"/>
      <c r="G52" s="71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71"/>
      <c r="AE52" s="71"/>
      <c r="AF52" s="71"/>
      <c r="AG52" s="71"/>
    </row>
    <row r="53" spans="3:33" ht="17.45" customHeight="1" x14ac:dyDescent="0.2">
      <c r="C53" s="9" t="s">
        <v>21</v>
      </c>
      <c r="D53" s="4" t="s">
        <v>5</v>
      </c>
      <c r="E53" s="53">
        <f>总览!P18</f>
        <v>0</v>
      </c>
      <c r="F53" s="71"/>
      <c r="G53" s="71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1"/>
      <c r="W53" s="71"/>
      <c r="X53" s="71"/>
      <c r="Y53" s="71"/>
      <c r="Z53" s="71"/>
      <c r="AA53" s="71"/>
      <c r="AB53" s="71"/>
      <c r="AC53" s="71"/>
      <c r="AD53" s="71"/>
      <c r="AE53" s="71"/>
      <c r="AF53" s="71"/>
      <c r="AG53" s="71"/>
    </row>
    <row r="54" spans="3:33" ht="17.45" customHeight="1" x14ac:dyDescent="0.2">
      <c r="C54" s="9" t="s">
        <v>22</v>
      </c>
      <c r="D54" s="4" t="s">
        <v>5</v>
      </c>
      <c r="E54" s="53">
        <f>总览!P19</f>
        <v>0</v>
      </c>
      <c r="F54" s="71"/>
      <c r="G54" s="71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1"/>
      <c r="X54" s="71"/>
      <c r="Y54" s="71"/>
      <c r="Z54" s="71"/>
      <c r="AA54" s="71"/>
      <c r="AB54" s="71"/>
      <c r="AC54" s="71"/>
      <c r="AD54" s="71"/>
      <c r="AE54" s="71"/>
      <c r="AF54" s="71"/>
      <c r="AG54" s="71"/>
    </row>
    <row r="55" spans="3:33" ht="17.45" customHeight="1" x14ac:dyDescent="0.2">
      <c r="C55" s="13" t="s">
        <v>23</v>
      </c>
      <c r="D55" s="4" t="s">
        <v>5</v>
      </c>
      <c r="E55" s="53">
        <f>总览!P20</f>
        <v>0</v>
      </c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</row>
    <row r="56" spans="3:33" ht="17.45" customHeight="1" x14ac:dyDescent="0.2">
      <c r="C56" s="9" t="s">
        <v>8</v>
      </c>
      <c r="D56" s="52" t="s">
        <v>180</v>
      </c>
      <c r="E56" s="53">
        <f>总览!U6</f>
        <v>0</v>
      </c>
      <c r="F56" s="71"/>
      <c r="G56" s="71"/>
      <c r="H56" s="71"/>
      <c r="I56" s="71"/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1"/>
      <c r="X56" s="71"/>
      <c r="Y56" s="71"/>
      <c r="Z56" s="71"/>
      <c r="AA56" s="71"/>
      <c r="AB56" s="71"/>
      <c r="AC56" s="71"/>
      <c r="AD56" s="71"/>
      <c r="AE56" s="71"/>
      <c r="AF56" s="71"/>
      <c r="AG56" s="71"/>
    </row>
    <row r="57" spans="3:33" ht="17.45" customHeight="1" x14ac:dyDescent="0.2">
      <c r="C57" s="11" t="s">
        <v>13</v>
      </c>
      <c r="D57" s="52" t="s">
        <v>180</v>
      </c>
      <c r="E57" s="53">
        <f>总览!U10</f>
        <v>0</v>
      </c>
      <c r="F57" s="71"/>
      <c r="G57" s="71"/>
      <c r="H57" s="71"/>
      <c r="I57" s="71"/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</row>
    <row r="58" spans="3:33" x14ac:dyDescent="0.2">
      <c r="C58" s="9" t="s">
        <v>14</v>
      </c>
      <c r="D58" s="52" t="s">
        <v>180</v>
      </c>
      <c r="E58" s="53">
        <f>总览!U11</f>
        <v>0</v>
      </c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</row>
    <row r="59" spans="3:33" x14ac:dyDescent="0.2">
      <c r="C59" s="9" t="s">
        <v>15</v>
      </c>
      <c r="D59" s="52" t="s">
        <v>180</v>
      </c>
      <c r="E59" s="53">
        <f>总览!U12</f>
        <v>0</v>
      </c>
      <c r="F59" s="71"/>
      <c r="G59" s="71"/>
      <c r="H59" s="71"/>
      <c r="I59" s="71"/>
      <c r="J59" s="71"/>
      <c r="K59" s="71"/>
      <c r="L59" s="71"/>
      <c r="M59" s="71"/>
      <c r="N59" s="71"/>
      <c r="O59" s="71"/>
      <c r="P59" s="71"/>
      <c r="Q59" s="7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</row>
    <row r="60" spans="3:33" x14ac:dyDescent="0.2">
      <c r="C60" s="9" t="s">
        <v>16</v>
      </c>
      <c r="D60" s="52" t="s">
        <v>180</v>
      </c>
      <c r="E60" s="53">
        <f>总览!U13</f>
        <v>0</v>
      </c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</row>
    <row r="61" spans="3:33" x14ac:dyDescent="0.2">
      <c r="C61" s="9" t="s">
        <v>19</v>
      </c>
      <c r="D61" s="52" t="s">
        <v>180</v>
      </c>
      <c r="E61" s="53">
        <f>总览!U16</f>
        <v>0</v>
      </c>
      <c r="F61" s="71"/>
      <c r="G61" s="71"/>
      <c r="H61" s="71"/>
      <c r="I61" s="71"/>
      <c r="J61" s="71"/>
      <c r="K61" s="71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/>
      <c r="AC61" s="71"/>
      <c r="AD61" s="71"/>
      <c r="AE61" s="71"/>
      <c r="AF61" s="71"/>
      <c r="AG61" s="71"/>
    </row>
    <row r="62" spans="3:33" x14ac:dyDescent="0.2">
      <c r="C62" s="9" t="s">
        <v>20</v>
      </c>
      <c r="D62" s="52" t="s">
        <v>180</v>
      </c>
      <c r="E62" s="53">
        <f>总览!U17</f>
        <v>0</v>
      </c>
      <c r="F62" s="71"/>
      <c r="G62" s="71"/>
      <c r="H62" s="71"/>
      <c r="I62" s="71"/>
      <c r="J62" s="71"/>
      <c r="K62" s="71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</row>
    <row r="63" spans="3:33" x14ac:dyDescent="0.2">
      <c r="C63" s="9" t="s">
        <v>22</v>
      </c>
      <c r="D63" s="52" t="s">
        <v>180</v>
      </c>
      <c r="E63" s="53">
        <f>总览!U19</f>
        <v>0</v>
      </c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</row>
    <row r="64" spans="3:33" x14ac:dyDescent="0.2">
      <c r="C64" s="13" t="s">
        <v>23</v>
      </c>
      <c r="D64" s="52" t="s">
        <v>180</v>
      </c>
      <c r="E64" s="53">
        <f>总览!U20</f>
        <v>0</v>
      </c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</row>
    <row r="65" spans="3:33" x14ac:dyDescent="0.2">
      <c r="C65" s="13" t="s">
        <v>25</v>
      </c>
      <c r="D65" s="52" t="s">
        <v>3</v>
      </c>
      <c r="E65" s="53">
        <f>总览!F22</f>
        <v>0</v>
      </c>
      <c r="F65" s="71"/>
      <c r="G65" s="71"/>
      <c r="H65" s="71"/>
      <c r="I65" s="71"/>
      <c r="J65" s="71"/>
      <c r="K65" s="71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</row>
    <row r="66" spans="3:33" x14ac:dyDescent="0.2">
      <c r="C66" s="13" t="s">
        <v>26</v>
      </c>
      <c r="D66" s="52" t="s">
        <v>3</v>
      </c>
      <c r="E66" s="53">
        <f>总览!F23</f>
        <v>0</v>
      </c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</row>
    <row r="67" spans="3:33" x14ac:dyDescent="0.2">
      <c r="C67" s="13" t="s">
        <v>27</v>
      </c>
      <c r="D67" s="52" t="s">
        <v>3</v>
      </c>
      <c r="E67" s="53">
        <f>总览!F24</f>
        <v>0</v>
      </c>
      <c r="F67" s="71"/>
      <c r="G67" s="71"/>
      <c r="H67" s="71"/>
      <c r="I67" s="71"/>
      <c r="J67" s="71"/>
      <c r="K67" s="71"/>
      <c r="L67" s="71"/>
      <c r="M67" s="71"/>
      <c r="N67" s="71"/>
      <c r="O67" s="71"/>
      <c r="P67" s="71"/>
      <c r="Q67" s="71"/>
      <c r="R67" s="71"/>
      <c r="S67" s="71"/>
      <c r="T67" s="71"/>
      <c r="U67" s="71"/>
      <c r="V67" s="71"/>
      <c r="W67" s="71"/>
      <c r="X67" s="71"/>
      <c r="Y67" s="71"/>
      <c r="Z67" s="71"/>
      <c r="AA67" s="71"/>
      <c r="AB67" s="71"/>
      <c r="AC67" s="71"/>
      <c r="AD67" s="71"/>
      <c r="AE67" s="71"/>
      <c r="AF67" s="71"/>
      <c r="AG67" s="71"/>
    </row>
    <row r="68" spans="3:33" x14ac:dyDescent="0.2">
      <c r="C68" s="13" t="s">
        <v>28</v>
      </c>
      <c r="D68" s="52" t="s">
        <v>3</v>
      </c>
      <c r="E68" s="53">
        <f>总览!F25</f>
        <v>0</v>
      </c>
      <c r="F68" s="71"/>
      <c r="G68" s="71"/>
      <c r="H68" s="71"/>
      <c r="I68" s="71"/>
      <c r="J68" s="71"/>
      <c r="K68" s="71"/>
      <c r="L68" s="71"/>
      <c r="M68" s="71"/>
      <c r="N68" s="71"/>
      <c r="O68" s="71"/>
      <c r="P68" s="71"/>
      <c r="Q68" s="71"/>
      <c r="R68" s="71"/>
      <c r="S68" s="71"/>
      <c r="T68" s="71"/>
      <c r="U68" s="71"/>
      <c r="V68" s="71"/>
      <c r="W68" s="71"/>
      <c r="X68" s="71"/>
      <c r="Y68" s="71"/>
      <c r="Z68" s="71"/>
      <c r="AA68" s="71"/>
      <c r="AB68" s="71"/>
      <c r="AC68" s="71"/>
      <c r="AD68" s="71"/>
      <c r="AE68" s="71"/>
      <c r="AF68" s="71"/>
      <c r="AG68" s="71"/>
    </row>
    <row r="69" spans="3:33" x14ac:dyDescent="0.2">
      <c r="C69" s="28" t="s">
        <v>29</v>
      </c>
      <c r="D69" s="52" t="s">
        <v>3</v>
      </c>
      <c r="E69" s="53">
        <f>总览!F26</f>
        <v>0</v>
      </c>
      <c r="F69" s="71"/>
      <c r="G69" s="71"/>
      <c r="H69" s="71"/>
      <c r="I69" s="71"/>
      <c r="J69" s="71"/>
      <c r="K69" s="71"/>
      <c r="L69" s="71"/>
      <c r="M69" s="71"/>
      <c r="N69" s="71"/>
      <c r="O69" s="71"/>
      <c r="P69" s="71"/>
      <c r="Q69" s="71"/>
      <c r="R69" s="71"/>
      <c r="S69" s="71"/>
      <c r="T69" s="71"/>
      <c r="U69" s="71"/>
      <c r="V69" s="71"/>
      <c r="W69" s="71"/>
      <c r="X69" s="71"/>
      <c r="Y69" s="71"/>
      <c r="Z69" s="71"/>
      <c r="AA69" s="71"/>
      <c r="AB69" s="71"/>
      <c r="AC69" s="71"/>
      <c r="AD69" s="71"/>
      <c r="AE69" s="71"/>
      <c r="AF69" s="71"/>
      <c r="AG69" s="71"/>
    </row>
    <row r="70" spans="3:33" x14ac:dyDescent="0.2">
      <c r="C70" s="13" t="s">
        <v>25</v>
      </c>
      <c r="D70" s="52" t="s">
        <v>4</v>
      </c>
      <c r="E70" s="53">
        <f>总览!K22</f>
        <v>0</v>
      </c>
      <c r="F70" s="71"/>
      <c r="G70" s="71"/>
      <c r="H70" s="71"/>
      <c r="I70" s="71"/>
      <c r="J70" s="71"/>
      <c r="K70" s="71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</row>
    <row r="71" spans="3:33" x14ac:dyDescent="0.2">
      <c r="C71" s="13" t="s">
        <v>26</v>
      </c>
      <c r="D71" s="52" t="s">
        <v>4</v>
      </c>
      <c r="E71" s="53">
        <f>总览!K23</f>
        <v>0</v>
      </c>
      <c r="F71" s="71"/>
      <c r="G71" s="71"/>
      <c r="H71" s="71"/>
      <c r="I71" s="71"/>
      <c r="J71" s="71"/>
      <c r="K71" s="71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</row>
    <row r="72" spans="3:33" x14ac:dyDescent="0.2">
      <c r="C72" s="13" t="s">
        <v>27</v>
      </c>
      <c r="D72" s="52" t="s">
        <v>4</v>
      </c>
      <c r="E72" s="53">
        <f>总览!K24</f>
        <v>0</v>
      </c>
      <c r="F72" s="71"/>
      <c r="G72" s="71"/>
      <c r="H72" s="71"/>
      <c r="I72" s="71"/>
      <c r="J72" s="71"/>
      <c r="K72" s="71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/>
      <c r="AC72" s="71"/>
      <c r="AD72" s="71"/>
      <c r="AE72" s="71"/>
      <c r="AF72" s="71"/>
      <c r="AG72" s="71"/>
    </row>
    <row r="73" spans="3:33" x14ac:dyDescent="0.2">
      <c r="C73" s="13" t="s">
        <v>28</v>
      </c>
      <c r="D73" s="52" t="s">
        <v>4</v>
      </c>
      <c r="E73" s="53">
        <f>总览!K25</f>
        <v>0</v>
      </c>
      <c r="F73" s="71"/>
      <c r="G73" s="71"/>
      <c r="H73" s="71"/>
      <c r="I73" s="71"/>
      <c r="J73" s="71"/>
      <c r="K73" s="71"/>
      <c r="L73" s="71"/>
      <c r="M73" s="71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71"/>
      <c r="Y73" s="71"/>
      <c r="Z73" s="71"/>
      <c r="AA73" s="71"/>
      <c r="AB73" s="71"/>
      <c r="AC73" s="71"/>
      <c r="AD73" s="71"/>
      <c r="AE73" s="71"/>
      <c r="AF73" s="71"/>
      <c r="AG73" s="71"/>
    </row>
    <row r="74" spans="3:33" x14ac:dyDescent="0.2">
      <c r="C74" s="28" t="s">
        <v>29</v>
      </c>
      <c r="D74" s="52" t="s">
        <v>4</v>
      </c>
      <c r="E74" s="53">
        <f>总览!K26</f>
        <v>0</v>
      </c>
      <c r="F74" s="71"/>
      <c r="G74" s="71"/>
      <c r="H74" s="71"/>
      <c r="I74" s="71"/>
      <c r="J74" s="71"/>
      <c r="K74" s="71"/>
      <c r="L74" s="71"/>
      <c r="M74" s="71"/>
      <c r="N74" s="71"/>
      <c r="O74" s="71"/>
      <c r="P74" s="71"/>
      <c r="Q74" s="71"/>
      <c r="R74" s="71"/>
      <c r="S74" s="71"/>
      <c r="T74" s="71"/>
      <c r="U74" s="71"/>
      <c r="V74" s="71"/>
      <c r="W74" s="71"/>
      <c r="X74" s="71"/>
      <c r="Y74" s="71"/>
      <c r="Z74" s="71"/>
      <c r="AA74" s="71"/>
      <c r="AB74" s="71"/>
      <c r="AC74" s="71"/>
      <c r="AD74" s="71"/>
      <c r="AE74" s="71"/>
      <c r="AF74" s="71"/>
      <c r="AG74" s="71"/>
    </row>
    <row r="75" spans="3:33" x14ac:dyDescent="0.2">
      <c r="C75" s="13" t="s">
        <v>25</v>
      </c>
      <c r="D75" s="52" t="s">
        <v>5</v>
      </c>
      <c r="E75" s="53">
        <f>总览!P22</f>
        <v>0</v>
      </c>
      <c r="F75" s="71"/>
      <c r="G75" s="71"/>
      <c r="H75" s="71"/>
      <c r="I75" s="71"/>
      <c r="J75" s="71"/>
      <c r="K75" s="71"/>
      <c r="L75" s="71"/>
      <c r="M75" s="71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71"/>
      <c r="Y75" s="71"/>
      <c r="Z75" s="71"/>
      <c r="AA75" s="71"/>
      <c r="AB75" s="71"/>
      <c r="AC75" s="71"/>
      <c r="AD75" s="71"/>
      <c r="AE75" s="71"/>
      <c r="AF75" s="71"/>
      <c r="AG75" s="71"/>
    </row>
    <row r="76" spans="3:33" x14ac:dyDescent="0.2">
      <c r="C76" s="13" t="s">
        <v>26</v>
      </c>
      <c r="D76" s="52" t="s">
        <v>5</v>
      </c>
      <c r="E76" s="53">
        <f>总览!P23</f>
        <v>0</v>
      </c>
      <c r="F76" s="71"/>
      <c r="G76" s="71"/>
      <c r="H76" s="71"/>
      <c r="I76" s="71"/>
      <c r="J76" s="71"/>
      <c r="K76" s="71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/>
      <c r="AG76" s="71"/>
    </row>
    <row r="77" spans="3:33" x14ac:dyDescent="0.2">
      <c r="C77" s="13" t="s">
        <v>27</v>
      </c>
      <c r="D77" s="52" t="s">
        <v>5</v>
      </c>
      <c r="E77" s="53">
        <f>总览!P24</f>
        <v>0</v>
      </c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</row>
    <row r="78" spans="3:33" x14ac:dyDescent="0.2">
      <c r="C78" s="13" t="s">
        <v>28</v>
      </c>
      <c r="D78" s="52" t="s">
        <v>5</v>
      </c>
      <c r="E78" s="53">
        <f>总览!P25</f>
        <v>0</v>
      </c>
      <c r="F78" s="71"/>
      <c r="G78" s="71"/>
      <c r="H78" s="71"/>
      <c r="I78" s="71"/>
      <c r="J78" s="71"/>
      <c r="K78" s="71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</row>
    <row r="79" spans="3:33" x14ac:dyDescent="0.2">
      <c r="C79" s="28" t="s">
        <v>29</v>
      </c>
      <c r="D79" s="52" t="s">
        <v>5</v>
      </c>
      <c r="E79" s="53">
        <f>总览!P26</f>
        <v>0</v>
      </c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</row>
    <row r="80" spans="3:33" x14ac:dyDescent="0.2">
      <c r="C80" s="13" t="s">
        <v>28</v>
      </c>
      <c r="D80" s="52" t="s">
        <v>6</v>
      </c>
      <c r="E80" s="53">
        <f>总览!U25</f>
        <v>0</v>
      </c>
      <c r="F80" s="71"/>
      <c r="G80" s="71"/>
      <c r="H80" s="71"/>
      <c r="I80" s="71"/>
      <c r="J80" s="71"/>
      <c r="K80" s="71"/>
      <c r="L80" s="71"/>
      <c r="M80" s="71"/>
      <c r="N80" s="71"/>
      <c r="O80" s="71"/>
      <c r="P80" s="71"/>
      <c r="Q80" s="71"/>
      <c r="R80" s="71"/>
      <c r="S80" s="71"/>
      <c r="T80" s="71"/>
      <c r="U80" s="71"/>
      <c r="V80" s="71"/>
      <c r="W80" s="71"/>
      <c r="X80" s="71"/>
      <c r="Y80" s="71"/>
      <c r="Z80" s="71"/>
      <c r="AA80" s="71"/>
      <c r="AB80" s="71"/>
      <c r="AC80" s="71"/>
      <c r="AD80" s="71"/>
      <c r="AE80" s="71"/>
      <c r="AF80" s="71"/>
      <c r="AG80" s="71"/>
    </row>
    <row r="81" spans="3:33" x14ac:dyDescent="0.2">
      <c r="C81" s="28" t="s">
        <v>29</v>
      </c>
      <c r="D81" s="52" t="s">
        <v>6</v>
      </c>
      <c r="E81" s="53">
        <f>总览!U26</f>
        <v>0</v>
      </c>
      <c r="F81" s="71"/>
      <c r="G81" s="71"/>
      <c r="H81" s="71"/>
      <c r="I81" s="71"/>
      <c r="J81" s="71"/>
      <c r="K81" s="71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/>
      <c r="AC81" s="71"/>
      <c r="AD81" s="71"/>
      <c r="AE81" s="71"/>
      <c r="AF81" s="71"/>
      <c r="AG81" s="71"/>
    </row>
    <row r="82" spans="3:33" x14ac:dyDescent="0.2">
      <c r="C82" s="71"/>
      <c r="D82" s="71"/>
      <c r="E82" s="71"/>
      <c r="F82" s="71"/>
      <c r="G82" s="71"/>
      <c r="H82" s="71"/>
      <c r="I82" s="71"/>
      <c r="J82" s="71"/>
      <c r="K82" s="71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</row>
    <row r="83" spans="3:33" x14ac:dyDescent="0.2">
      <c r="C83" s="71"/>
      <c r="D83" s="71"/>
      <c r="E83" s="71"/>
      <c r="F83" s="71"/>
      <c r="G83" s="71"/>
      <c r="H83" s="71"/>
      <c r="I83" s="71"/>
      <c r="J83" s="71"/>
      <c r="K83" s="71"/>
      <c r="L83" s="71"/>
      <c r="M83" s="71"/>
      <c r="N83" s="71"/>
      <c r="O83" s="71"/>
      <c r="P83" s="71"/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</row>
    <row r="84" spans="3:33" x14ac:dyDescent="0.2"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</row>
    <row r="85" spans="3:33" x14ac:dyDescent="0.2">
      <c r="C85" s="71"/>
      <c r="D85" s="71"/>
      <c r="E85" s="71"/>
      <c r="F85" s="71"/>
      <c r="G85" s="71"/>
      <c r="H85" s="71"/>
      <c r="I85" s="71"/>
      <c r="J85" s="71"/>
      <c r="K85" s="71"/>
      <c r="L85" s="71"/>
      <c r="M85" s="71"/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/>
      <c r="AB85" s="71"/>
      <c r="AC85" s="71"/>
      <c r="AD85" s="71"/>
      <c r="AE85" s="71"/>
      <c r="AF85" s="71"/>
      <c r="AG85" s="71"/>
    </row>
    <row r="86" spans="3:33" x14ac:dyDescent="0.2">
      <c r="C86" s="71"/>
      <c r="D86" s="71"/>
      <c r="E86" s="71"/>
      <c r="F86" s="71"/>
      <c r="G86" s="71"/>
      <c r="H86" s="71"/>
      <c r="I86" s="71"/>
      <c r="J86" s="71"/>
      <c r="K86" s="71"/>
      <c r="L86" s="71"/>
      <c r="M86" s="71"/>
      <c r="N86" s="71"/>
      <c r="O86" s="71"/>
      <c r="P86" s="71"/>
      <c r="Q86" s="71"/>
      <c r="R86" s="71"/>
      <c r="S86" s="71"/>
      <c r="T86" s="71"/>
      <c r="U86" s="71"/>
      <c r="V86" s="71"/>
      <c r="W86" s="71"/>
      <c r="X86" s="71"/>
      <c r="Y86" s="71"/>
      <c r="Z86" s="71"/>
      <c r="AA86" s="71"/>
      <c r="AB86" s="71"/>
      <c r="AC86" s="71"/>
      <c r="AD86" s="71"/>
      <c r="AE86" s="71"/>
      <c r="AF86" s="71"/>
      <c r="AG86" s="71"/>
    </row>
    <row r="87" spans="3:33" x14ac:dyDescent="0.2">
      <c r="C87" s="71"/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71"/>
      <c r="Q87" s="71"/>
      <c r="R87" s="71"/>
      <c r="S87" s="71"/>
      <c r="T87" s="71"/>
      <c r="U87" s="71"/>
      <c r="V87" s="71"/>
      <c r="W87" s="71"/>
      <c r="X87" s="71"/>
      <c r="Y87" s="71"/>
      <c r="Z87" s="71"/>
      <c r="AA87" s="71"/>
      <c r="AB87" s="71"/>
      <c r="AC87" s="71"/>
      <c r="AD87" s="71"/>
      <c r="AE87" s="71"/>
      <c r="AF87" s="71"/>
      <c r="AG87" s="71"/>
    </row>
    <row r="88" spans="3:33" x14ac:dyDescent="0.2"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</row>
    <row r="89" spans="3:33" x14ac:dyDescent="0.2"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71"/>
      <c r="Q89" s="71"/>
      <c r="R89" s="71"/>
      <c r="S89" s="71"/>
      <c r="T89" s="71"/>
      <c r="U89" s="71"/>
      <c r="V89" s="71"/>
      <c r="W89" s="71"/>
      <c r="X89" s="71"/>
      <c r="Y89" s="71"/>
      <c r="Z89" s="71"/>
      <c r="AA89" s="71"/>
      <c r="AB89" s="71"/>
      <c r="AC89" s="71"/>
      <c r="AD89" s="71"/>
      <c r="AE89" s="71"/>
      <c r="AF89" s="71"/>
      <c r="AG89" s="71"/>
    </row>
    <row r="90" spans="3:33" x14ac:dyDescent="0.2"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71"/>
      <c r="Q90" s="71"/>
      <c r="R90" s="71"/>
      <c r="S90" s="71"/>
      <c r="T90" s="71"/>
      <c r="U90" s="71"/>
      <c r="V90" s="71"/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</row>
    <row r="91" spans="3:33" x14ac:dyDescent="0.2">
      <c r="C91" s="71"/>
      <c r="D91" s="71"/>
      <c r="E91" s="71"/>
      <c r="F91" s="71"/>
      <c r="G91" s="71"/>
      <c r="H91" s="71"/>
      <c r="I91" s="71"/>
      <c r="J91" s="71"/>
      <c r="K91" s="71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</row>
    <row r="92" spans="3:33" x14ac:dyDescent="0.2">
      <c r="C92" s="71"/>
      <c r="D92" s="71"/>
      <c r="E92" s="71"/>
      <c r="F92" s="71"/>
      <c r="G92" s="71"/>
      <c r="H92" s="71"/>
      <c r="I92" s="71"/>
      <c r="J92" s="71"/>
      <c r="K92" s="71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</row>
    <row r="93" spans="3:33" x14ac:dyDescent="0.2">
      <c r="C93" s="71"/>
      <c r="D93" s="71"/>
      <c r="E93" s="71"/>
      <c r="F93" s="71"/>
      <c r="G93" s="71"/>
      <c r="H93" s="71"/>
      <c r="I93" s="71"/>
      <c r="J93" s="71"/>
      <c r="K93" s="71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</row>
    <row r="94" spans="3:33" x14ac:dyDescent="0.2">
      <c r="C94" s="71"/>
      <c r="D94" s="71"/>
      <c r="E94" s="71"/>
      <c r="F94" s="71"/>
      <c r="G94" s="71"/>
      <c r="H94" s="71"/>
      <c r="I94" s="71"/>
      <c r="J94" s="71"/>
      <c r="K94" s="71"/>
      <c r="L94" s="71"/>
      <c r="M94" s="71"/>
      <c r="N94" s="71"/>
      <c r="O94" s="71"/>
      <c r="P94" s="71"/>
      <c r="Q94" s="71"/>
      <c r="R94" s="71"/>
      <c r="S94" s="71"/>
      <c r="T94" s="71"/>
      <c r="U94" s="71"/>
      <c r="V94" s="71"/>
      <c r="W94" s="71"/>
      <c r="X94" s="71"/>
      <c r="Y94" s="71"/>
      <c r="Z94" s="71"/>
      <c r="AA94" s="71"/>
      <c r="AB94" s="71"/>
      <c r="AC94" s="71"/>
      <c r="AD94" s="71"/>
      <c r="AE94" s="71"/>
      <c r="AF94" s="71"/>
      <c r="AG94" s="71"/>
    </row>
    <row r="95" spans="3:33" x14ac:dyDescent="0.2">
      <c r="C95" s="71"/>
      <c r="D95" s="71"/>
      <c r="E95" s="71"/>
      <c r="F95" s="71"/>
      <c r="G95" s="71"/>
      <c r="H95" s="71"/>
      <c r="I95" s="71"/>
      <c r="J95" s="71"/>
      <c r="K95" s="71"/>
      <c r="L95" s="71"/>
      <c r="M95" s="71"/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/>
      <c r="AA95" s="71"/>
      <c r="AB95" s="71"/>
      <c r="AC95" s="71"/>
      <c r="AD95" s="71"/>
      <c r="AE95" s="71"/>
      <c r="AF95" s="71"/>
      <c r="AG95" s="71"/>
    </row>
    <row r="96" spans="3:33" x14ac:dyDescent="0.2">
      <c r="C96" s="71"/>
      <c r="D96" s="71"/>
      <c r="E96" s="71"/>
      <c r="F96" s="71"/>
      <c r="G96" s="71"/>
      <c r="H96" s="71"/>
      <c r="I96" s="71"/>
      <c r="J96" s="71"/>
      <c r="K96" s="71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</row>
    <row r="97" spans="3:33" x14ac:dyDescent="0.2">
      <c r="C97" s="71"/>
      <c r="D97" s="71"/>
      <c r="E97" s="71"/>
      <c r="F97" s="71"/>
      <c r="G97" s="71"/>
      <c r="H97" s="71"/>
      <c r="I97" s="71"/>
      <c r="J97" s="71"/>
      <c r="K97" s="71"/>
      <c r="L97" s="71"/>
      <c r="M97" s="71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</row>
    <row r="98" spans="3:33" x14ac:dyDescent="0.2"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</row>
    <row r="99" spans="3:33" x14ac:dyDescent="0.2">
      <c r="C99" s="71"/>
      <c r="D99" s="71"/>
      <c r="E99" s="71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</row>
    <row r="100" spans="3:33" x14ac:dyDescent="0.2">
      <c r="C100" s="71"/>
      <c r="D100" s="71"/>
      <c r="E100" s="71"/>
      <c r="F100" s="71"/>
      <c r="G100" s="71"/>
      <c r="H100" s="71"/>
      <c r="I100" s="71"/>
      <c r="J100" s="71"/>
      <c r="K100" s="71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</row>
    <row r="101" spans="3:33" x14ac:dyDescent="0.2">
      <c r="C101" s="71"/>
      <c r="D101" s="71"/>
      <c r="E101" s="71"/>
      <c r="F101" s="71"/>
      <c r="G101" s="71"/>
      <c r="H101" s="71"/>
      <c r="I101" s="71"/>
      <c r="J101" s="71"/>
      <c r="K101" s="71"/>
      <c r="L101" s="71"/>
      <c r="M101" s="71"/>
      <c r="N101" s="71"/>
      <c r="O101" s="71"/>
      <c r="P101" s="71"/>
      <c r="Q101" s="71"/>
      <c r="R101" s="71"/>
      <c r="S101" s="71"/>
      <c r="T101" s="71"/>
      <c r="U101" s="71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</row>
    <row r="102" spans="3:33" x14ac:dyDescent="0.2">
      <c r="C102" s="71"/>
      <c r="D102" s="71"/>
      <c r="E102" s="71"/>
      <c r="F102" s="71"/>
      <c r="G102" s="71"/>
      <c r="H102" s="71"/>
      <c r="I102" s="71"/>
      <c r="J102" s="71"/>
      <c r="K102" s="71"/>
      <c r="L102" s="71"/>
      <c r="M102" s="71"/>
      <c r="N102" s="71"/>
      <c r="O102" s="71"/>
      <c r="P102" s="71"/>
      <c r="Q102" s="71"/>
      <c r="R102" s="71"/>
      <c r="S102" s="71"/>
      <c r="T102" s="71"/>
      <c r="U102" s="71"/>
      <c r="V102" s="71"/>
      <c r="W102" s="71"/>
      <c r="X102" s="71"/>
      <c r="Y102" s="71"/>
      <c r="Z102" s="71"/>
      <c r="AA102" s="71"/>
      <c r="AB102" s="71"/>
      <c r="AC102" s="71"/>
      <c r="AD102" s="71"/>
      <c r="AE102" s="71"/>
      <c r="AF102" s="71"/>
      <c r="AG102" s="71"/>
    </row>
  </sheetData>
  <mergeCells count="39">
    <mergeCell ref="P43:AC47"/>
    <mergeCell ref="Q36:S36"/>
    <mergeCell ref="Q37:S37"/>
    <mergeCell ref="U33:W33"/>
    <mergeCell ref="U34:W34"/>
    <mergeCell ref="Z29:AD35"/>
    <mergeCell ref="AA16:AC16"/>
    <mergeCell ref="T16:W17"/>
    <mergeCell ref="P16:P17"/>
    <mergeCell ref="P20:P21"/>
    <mergeCell ref="Q20:S21"/>
    <mergeCell ref="P18:P19"/>
    <mergeCell ref="Q16:S17"/>
    <mergeCell ref="Q18:S19"/>
    <mergeCell ref="Q14:S15"/>
    <mergeCell ref="P28:W32"/>
    <mergeCell ref="Q33:S33"/>
    <mergeCell ref="Q34:S34"/>
    <mergeCell ref="Q35:S35"/>
    <mergeCell ref="P22:P23"/>
    <mergeCell ref="Q22:S23"/>
    <mergeCell ref="P24:P25"/>
    <mergeCell ref="Q24:S25"/>
    <mergeCell ref="Z27:AD28"/>
    <mergeCell ref="A1:Z6"/>
    <mergeCell ref="C7:E9"/>
    <mergeCell ref="I7:K10"/>
    <mergeCell ref="F11:H12"/>
    <mergeCell ref="P12:S13"/>
    <mergeCell ref="F14:G14"/>
    <mergeCell ref="T14:W15"/>
    <mergeCell ref="Z9:AD13"/>
    <mergeCell ref="T12:W13"/>
    <mergeCell ref="P7:W10"/>
    <mergeCell ref="P11:W11"/>
    <mergeCell ref="P14:P15"/>
    <mergeCell ref="M7:N10"/>
    <mergeCell ref="M11:M13"/>
    <mergeCell ref="N11:N1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EE072-F2D1-4ABC-925C-966AD483AD2E}">
  <sheetPr codeName="Sheet4"/>
  <dimension ref="A1:AK315"/>
  <sheetViews>
    <sheetView topLeftCell="A10" zoomScale="93" zoomScaleNormal="93" workbookViewId="0">
      <selection activeCell="H26" sqref="H26:X26"/>
    </sheetView>
  </sheetViews>
  <sheetFormatPr defaultRowHeight="14.25" x14ac:dyDescent="0.2"/>
  <cols>
    <col min="7" max="7" width="15.625" customWidth="1"/>
  </cols>
  <sheetData>
    <row r="1" spans="1:37" ht="14.25" customHeight="1" x14ac:dyDescent="0.2">
      <c r="A1" s="181" t="s">
        <v>187</v>
      </c>
      <c r="B1" s="181"/>
      <c r="C1" s="181"/>
      <c r="D1" s="181"/>
      <c r="E1" s="181" t="s">
        <v>190</v>
      </c>
      <c r="F1" s="181"/>
      <c r="G1" s="181"/>
      <c r="H1" s="180" t="s">
        <v>188</v>
      </c>
      <c r="I1" s="180"/>
      <c r="J1" s="180"/>
      <c r="K1" s="180"/>
      <c r="L1" s="180"/>
      <c r="M1" s="180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2"/>
    </row>
    <row r="2" spans="1:37" ht="14.25" customHeight="1" x14ac:dyDescent="0.2">
      <c r="A2" s="181"/>
      <c r="B2" s="181"/>
      <c r="C2" s="181"/>
      <c r="D2" s="181"/>
      <c r="E2" s="181"/>
      <c r="F2" s="181"/>
      <c r="G2" s="181"/>
      <c r="H2" s="180"/>
      <c r="I2" s="180"/>
      <c r="J2" s="180"/>
      <c r="K2" s="180"/>
      <c r="L2" s="180"/>
      <c r="M2" s="180"/>
      <c r="N2" s="180"/>
      <c r="O2" s="180"/>
      <c r="P2" s="180"/>
      <c r="Q2" s="180"/>
      <c r="R2" s="180"/>
      <c r="S2" s="180"/>
      <c r="T2" s="180"/>
      <c r="U2" s="180"/>
      <c r="V2" s="180"/>
      <c r="W2" s="180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</row>
    <row r="3" spans="1:37" ht="30" customHeight="1" x14ac:dyDescent="0.2">
      <c r="A3" s="182" t="s">
        <v>189</v>
      </c>
      <c r="B3" s="182"/>
      <c r="C3" s="182"/>
      <c r="D3" s="182"/>
      <c r="E3" s="177" t="s">
        <v>191</v>
      </c>
      <c r="F3" s="178"/>
      <c r="G3" s="179"/>
      <c r="H3" s="176" t="s">
        <v>232</v>
      </c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62"/>
      <c r="Z3" s="62"/>
      <c r="AA3" s="62"/>
      <c r="AB3" s="62"/>
      <c r="AC3" s="62"/>
      <c r="AD3" s="62"/>
      <c r="AE3" s="62"/>
      <c r="AF3" s="62"/>
      <c r="AG3" s="62"/>
      <c r="AH3" s="62"/>
      <c r="AI3" s="62"/>
      <c r="AJ3" s="62"/>
      <c r="AK3" s="62"/>
    </row>
    <row r="4" spans="1:37" ht="30" customHeight="1" x14ac:dyDescent="0.2">
      <c r="A4" s="182" t="s">
        <v>203</v>
      </c>
      <c r="B4" s="182"/>
      <c r="C4" s="182"/>
      <c r="D4" s="182"/>
      <c r="E4" s="177" t="s">
        <v>216</v>
      </c>
      <c r="F4" s="178"/>
      <c r="G4" s="179"/>
      <c r="H4" s="176" t="s">
        <v>204</v>
      </c>
      <c r="I4" s="176"/>
      <c r="J4" s="176"/>
      <c r="K4" s="176"/>
      <c r="L4" s="176"/>
      <c r="M4" s="176"/>
      <c r="N4" s="176"/>
      <c r="O4" s="176"/>
      <c r="P4" s="176"/>
      <c r="Q4" s="176"/>
      <c r="R4" s="176"/>
      <c r="S4" s="176"/>
      <c r="T4" s="176"/>
      <c r="U4" s="176"/>
      <c r="V4" s="176"/>
      <c r="W4" s="176"/>
      <c r="X4" s="176"/>
      <c r="Y4" s="62"/>
      <c r="Z4" s="62"/>
      <c r="AA4" s="62"/>
      <c r="AB4" s="62"/>
      <c r="AC4" s="62"/>
      <c r="AD4" s="62"/>
      <c r="AE4" s="62"/>
      <c r="AF4" s="62"/>
      <c r="AG4" s="62"/>
      <c r="AH4" s="62"/>
      <c r="AI4" s="62"/>
      <c r="AJ4" s="62"/>
      <c r="AK4" s="62"/>
    </row>
    <row r="5" spans="1:37" ht="30" customHeight="1" x14ac:dyDescent="0.2">
      <c r="A5" s="182" t="s">
        <v>205</v>
      </c>
      <c r="B5" s="182"/>
      <c r="C5" s="182"/>
      <c r="D5" s="182"/>
      <c r="E5" s="177" t="s">
        <v>217</v>
      </c>
      <c r="F5" s="178"/>
      <c r="G5" s="179"/>
      <c r="H5" s="176" t="s">
        <v>206</v>
      </c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</row>
    <row r="6" spans="1:37" ht="30" customHeight="1" x14ac:dyDescent="0.2">
      <c r="A6" s="182" t="s">
        <v>208</v>
      </c>
      <c r="B6" s="182"/>
      <c r="C6" s="182"/>
      <c r="D6" s="182"/>
      <c r="E6" s="177" t="s">
        <v>218</v>
      </c>
      <c r="F6" s="178"/>
      <c r="G6" s="179"/>
      <c r="H6" s="176" t="s">
        <v>209</v>
      </c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</row>
    <row r="7" spans="1:37" ht="30" customHeight="1" x14ac:dyDescent="0.2">
      <c r="A7" s="182" t="s">
        <v>211</v>
      </c>
      <c r="B7" s="182"/>
      <c r="C7" s="182"/>
      <c r="D7" s="182"/>
      <c r="E7" s="177" t="s">
        <v>219</v>
      </c>
      <c r="F7" s="178"/>
      <c r="G7" s="179"/>
      <c r="H7" s="176" t="s">
        <v>210</v>
      </c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</row>
    <row r="8" spans="1:37" ht="30" customHeight="1" x14ac:dyDescent="0.2">
      <c r="A8" s="182" t="s">
        <v>212</v>
      </c>
      <c r="B8" s="182"/>
      <c r="C8" s="182"/>
      <c r="D8" s="182"/>
      <c r="E8" s="177" t="s">
        <v>220</v>
      </c>
      <c r="F8" s="178"/>
      <c r="G8" s="179"/>
      <c r="H8" s="176" t="s">
        <v>233</v>
      </c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</row>
    <row r="9" spans="1:37" ht="30" customHeight="1" x14ac:dyDescent="0.2">
      <c r="A9" s="182" t="s">
        <v>213</v>
      </c>
      <c r="B9" s="182"/>
      <c r="C9" s="182"/>
      <c r="D9" s="182"/>
      <c r="E9" s="177" t="s">
        <v>214</v>
      </c>
      <c r="F9" s="178"/>
      <c r="G9" s="179"/>
      <c r="H9" s="176" t="s">
        <v>215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</row>
    <row r="10" spans="1:37" ht="30" customHeight="1" x14ac:dyDescent="0.2">
      <c r="A10" s="182" t="s">
        <v>225</v>
      </c>
      <c r="B10" s="182"/>
      <c r="C10" s="182"/>
      <c r="D10" s="182"/>
      <c r="E10" s="177" t="s">
        <v>227</v>
      </c>
      <c r="F10" s="178"/>
      <c r="G10" s="179"/>
      <c r="H10" s="176" t="s">
        <v>226</v>
      </c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</row>
    <row r="11" spans="1:37" ht="30" customHeight="1" x14ac:dyDescent="0.2">
      <c r="A11" s="182" t="s">
        <v>229</v>
      </c>
      <c r="B11" s="182"/>
      <c r="C11" s="182"/>
      <c r="D11" s="182"/>
      <c r="E11" s="177" t="s">
        <v>235</v>
      </c>
      <c r="F11" s="178"/>
      <c r="G11" s="179"/>
      <c r="H11" s="176" t="s">
        <v>234</v>
      </c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</row>
    <row r="12" spans="1:37" ht="30" customHeight="1" x14ac:dyDescent="0.2">
      <c r="A12" s="182" t="s">
        <v>246</v>
      </c>
      <c r="B12" s="182"/>
      <c r="C12" s="182"/>
      <c r="D12" s="182"/>
      <c r="E12" s="177" t="s">
        <v>248</v>
      </c>
      <c r="F12" s="178"/>
      <c r="G12" s="179"/>
      <c r="H12" s="176" t="s">
        <v>247</v>
      </c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</row>
    <row r="13" spans="1:37" ht="30" customHeight="1" x14ac:dyDescent="0.2">
      <c r="A13" s="182" t="s">
        <v>249</v>
      </c>
      <c r="B13" s="182"/>
      <c r="C13" s="182"/>
      <c r="D13" s="182"/>
      <c r="E13" s="177" t="s">
        <v>254</v>
      </c>
      <c r="F13" s="178"/>
      <c r="G13" s="179"/>
      <c r="H13" s="176" t="s">
        <v>250</v>
      </c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</row>
    <row r="14" spans="1:37" ht="30" customHeight="1" x14ac:dyDescent="0.2">
      <c r="A14" s="182" t="s">
        <v>252</v>
      </c>
      <c r="B14" s="182"/>
      <c r="C14" s="182"/>
      <c r="D14" s="182"/>
      <c r="E14" s="177" t="s">
        <v>253</v>
      </c>
      <c r="F14" s="178"/>
      <c r="G14" s="179"/>
      <c r="H14" s="176" t="s">
        <v>255</v>
      </c>
      <c r="I14" s="176"/>
      <c r="J14" s="176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  <c r="W14" s="176"/>
      <c r="X14" s="176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</row>
    <row r="15" spans="1:37" ht="30" customHeight="1" x14ac:dyDescent="0.2">
      <c r="A15" s="182" t="s">
        <v>256</v>
      </c>
      <c r="B15" s="182"/>
      <c r="C15" s="182"/>
      <c r="D15" s="182"/>
      <c r="E15" s="177" t="s">
        <v>257</v>
      </c>
      <c r="F15" s="178"/>
      <c r="G15" s="179"/>
      <c r="H15" s="176" t="s">
        <v>258</v>
      </c>
      <c r="I15" s="176"/>
      <c r="J15" s="176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  <c r="W15" s="176"/>
      <c r="X15" s="176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</row>
    <row r="16" spans="1:37" ht="30" customHeight="1" x14ac:dyDescent="0.2">
      <c r="A16" s="182" t="s">
        <v>261</v>
      </c>
      <c r="B16" s="182"/>
      <c r="C16" s="182"/>
      <c r="D16" s="182"/>
      <c r="E16" s="177" t="s">
        <v>262</v>
      </c>
      <c r="F16" s="178"/>
      <c r="G16" s="179"/>
      <c r="H16" s="176" t="s">
        <v>264</v>
      </c>
      <c r="I16" s="176"/>
      <c r="J16" s="176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  <c r="W16" s="176"/>
      <c r="X16" s="176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</row>
    <row r="17" spans="1:37" ht="30" customHeight="1" x14ac:dyDescent="0.2">
      <c r="A17" s="182" t="s">
        <v>263</v>
      </c>
      <c r="B17" s="182"/>
      <c r="C17" s="182"/>
      <c r="D17" s="182"/>
      <c r="E17" s="177" t="s">
        <v>266</v>
      </c>
      <c r="F17" s="178"/>
      <c r="G17" s="179"/>
      <c r="H17" s="176" t="s">
        <v>265</v>
      </c>
      <c r="I17" s="176"/>
      <c r="J17" s="176"/>
      <c r="K17" s="176"/>
      <c r="L17" s="176"/>
      <c r="M17" s="176"/>
      <c r="N17" s="176"/>
      <c r="O17" s="176"/>
      <c r="P17" s="176"/>
      <c r="Q17" s="176"/>
      <c r="R17" s="176"/>
      <c r="S17" s="176"/>
      <c r="T17" s="176"/>
      <c r="U17" s="176"/>
      <c r="V17" s="176"/>
      <c r="W17" s="176"/>
      <c r="X17" s="176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</row>
    <row r="18" spans="1:37" ht="30" customHeight="1" x14ac:dyDescent="0.2">
      <c r="A18" s="182" t="s">
        <v>267</v>
      </c>
      <c r="B18" s="182"/>
      <c r="C18" s="182"/>
      <c r="D18" s="182"/>
      <c r="E18" s="177" t="s">
        <v>268</v>
      </c>
      <c r="F18" s="178"/>
      <c r="G18" s="179"/>
      <c r="H18" s="176" t="s">
        <v>269</v>
      </c>
      <c r="I18" s="176"/>
      <c r="J18" s="176"/>
      <c r="K18" s="176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6"/>
      <c r="W18" s="176"/>
      <c r="X18" s="176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</row>
    <row r="19" spans="1:37" ht="30" customHeight="1" x14ac:dyDescent="0.2">
      <c r="A19" s="182" t="s">
        <v>270</v>
      </c>
      <c r="B19" s="182"/>
      <c r="C19" s="182"/>
      <c r="D19" s="182"/>
      <c r="E19" s="177" t="s">
        <v>272</v>
      </c>
      <c r="F19" s="178"/>
      <c r="G19" s="179"/>
      <c r="H19" s="176" t="s">
        <v>271</v>
      </c>
      <c r="I19" s="176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  <c r="X19" s="176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</row>
    <row r="20" spans="1:37" ht="30" customHeight="1" x14ac:dyDescent="0.2">
      <c r="A20" s="182" t="s">
        <v>273</v>
      </c>
      <c r="B20" s="182"/>
      <c r="C20" s="182"/>
      <c r="D20" s="182"/>
      <c r="E20" s="177" t="s">
        <v>274</v>
      </c>
      <c r="F20" s="178"/>
      <c r="G20" s="179"/>
      <c r="H20" s="176" t="s">
        <v>275</v>
      </c>
      <c r="I20" s="176"/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</row>
    <row r="21" spans="1:37" ht="30" customHeight="1" x14ac:dyDescent="0.2">
      <c r="A21" s="182" t="s">
        <v>276</v>
      </c>
      <c r="B21" s="182"/>
      <c r="C21" s="182"/>
      <c r="D21" s="182"/>
      <c r="E21" s="177" t="s">
        <v>277</v>
      </c>
      <c r="F21" s="178"/>
      <c r="G21" s="179"/>
      <c r="H21" s="176" t="s">
        <v>278</v>
      </c>
      <c r="I21" s="176"/>
      <c r="J21" s="176"/>
      <c r="K21" s="176"/>
      <c r="L21" s="176"/>
      <c r="M21" s="176"/>
      <c r="N21" s="176"/>
      <c r="O21" s="176"/>
      <c r="P21" s="176"/>
      <c r="Q21" s="176"/>
      <c r="R21" s="176"/>
      <c r="S21" s="176"/>
      <c r="T21" s="176"/>
      <c r="U21" s="176"/>
      <c r="V21" s="176"/>
      <c r="W21" s="176"/>
      <c r="X21" s="176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</row>
    <row r="22" spans="1:37" ht="30" customHeight="1" x14ac:dyDescent="0.2">
      <c r="A22" s="182" t="s">
        <v>279</v>
      </c>
      <c r="B22" s="182"/>
      <c r="C22" s="182"/>
      <c r="D22" s="182"/>
      <c r="E22" s="177" t="s">
        <v>287</v>
      </c>
      <c r="F22" s="178"/>
      <c r="G22" s="179"/>
      <c r="H22" s="176" t="s">
        <v>286</v>
      </c>
      <c r="I22" s="176"/>
      <c r="J22" s="176"/>
      <c r="K22" s="176"/>
      <c r="L22" s="176"/>
      <c r="M22" s="176"/>
      <c r="N22" s="176"/>
      <c r="O22" s="176"/>
      <c r="P22" s="176"/>
      <c r="Q22" s="176"/>
      <c r="R22" s="176"/>
      <c r="S22" s="176"/>
      <c r="T22" s="176"/>
      <c r="U22" s="176"/>
      <c r="V22" s="176"/>
      <c r="W22" s="176"/>
      <c r="X22" s="176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</row>
    <row r="23" spans="1:37" ht="30" customHeight="1" x14ac:dyDescent="0.2">
      <c r="A23" s="182" t="s">
        <v>288</v>
      </c>
      <c r="B23" s="182"/>
      <c r="C23" s="182"/>
      <c r="D23" s="182"/>
      <c r="E23" s="177" t="s">
        <v>292</v>
      </c>
      <c r="F23" s="178"/>
      <c r="G23" s="179"/>
      <c r="H23" s="176" t="s">
        <v>291</v>
      </c>
      <c r="I23" s="176"/>
      <c r="J23" s="176"/>
      <c r="K23" s="176"/>
      <c r="L23" s="176"/>
      <c r="M23" s="176"/>
      <c r="N23" s="176"/>
      <c r="O23" s="176"/>
      <c r="P23" s="176"/>
      <c r="Q23" s="176"/>
      <c r="R23" s="176"/>
      <c r="S23" s="176"/>
      <c r="T23" s="176"/>
      <c r="U23" s="176"/>
      <c r="V23" s="176"/>
      <c r="W23" s="176"/>
      <c r="X23" s="176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</row>
    <row r="24" spans="1:37" ht="30" customHeight="1" x14ac:dyDescent="0.2">
      <c r="A24" s="182" t="s">
        <v>293</v>
      </c>
      <c r="B24" s="182"/>
      <c r="C24" s="182"/>
      <c r="D24" s="182"/>
      <c r="E24" s="177" t="s">
        <v>295</v>
      </c>
      <c r="F24" s="178"/>
      <c r="G24" s="179"/>
      <c r="H24" s="176" t="s">
        <v>294</v>
      </c>
      <c r="I24" s="176"/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76"/>
      <c r="W24" s="176"/>
      <c r="X24" s="176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</row>
    <row r="25" spans="1:37" ht="30" customHeight="1" x14ac:dyDescent="0.2">
      <c r="A25" s="182" t="s">
        <v>296</v>
      </c>
      <c r="B25" s="182"/>
      <c r="C25" s="182"/>
      <c r="D25" s="182"/>
      <c r="E25" s="177" t="s">
        <v>297</v>
      </c>
      <c r="F25" s="178"/>
      <c r="G25" s="179"/>
      <c r="H25" s="176" t="s">
        <v>298</v>
      </c>
      <c r="I25" s="176"/>
      <c r="J25" s="176"/>
      <c r="K25" s="176"/>
      <c r="L25" s="176"/>
      <c r="M25" s="176"/>
      <c r="N25" s="176"/>
      <c r="O25" s="176"/>
      <c r="P25" s="176"/>
      <c r="Q25" s="176"/>
      <c r="R25" s="176"/>
      <c r="S25" s="176"/>
      <c r="T25" s="176"/>
      <c r="U25" s="176"/>
      <c r="V25" s="176"/>
      <c r="W25" s="176"/>
      <c r="X25" s="176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</row>
    <row r="26" spans="1:37" ht="30" customHeight="1" x14ac:dyDescent="0.2">
      <c r="A26" s="182"/>
      <c r="B26" s="182"/>
      <c r="C26" s="182"/>
      <c r="D26" s="182"/>
      <c r="E26" s="177"/>
      <c r="F26" s="178"/>
      <c r="G26" s="179"/>
      <c r="H26" s="176"/>
      <c r="I26" s="176"/>
      <c r="J26" s="176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</row>
    <row r="27" spans="1:37" ht="30" customHeight="1" x14ac:dyDescent="0.2">
      <c r="A27" s="182"/>
      <c r="B27" s="182"/>
      <c r="C27" s="182"/>
      <c r="D27" s="182"/>
      <c r="E27" s="177"/>
      <c r="F27" s="178"/>
      <c r="G27" s="179"/>
      <c r="H27" s="176"/>
      <c r="I27" s="176"/>
      <c r="J27" s="176"/>
      <c r="K27" s="176"/>
      <c r="L27" s="176"/>
      <c r="M27" s="176"/>
      <c r="N27" s="176"/>
      <c r="O27" s="176"/>
      <c r="P27" s="176"/>
      <c r="Q27" s="176"/>
      <c r="R27" s="176"/>
      <c r="S27" s="176"/>
      <c r="T27" s="176"/>
      <c r="U27" s="176"/>
      <c r="V27" s="176"/>
      <c r="W27" s="176"/>
      <c r="X27" s="176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</row>
    <row r="28" spans="1:37" ht="30" customHeight="1" x14ac:dyDescent="0.2">
      <c r="A28" s="182"/>
      <c r="B28" s="182"/>
      <c r="C28" s="182"/>
      <c r="D28" s="182"/>
      <c r="E28" s="177"/>
      <c r="F28" s="178"/>
      <c r="G28" s="179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76"/>
      <c r="W28" s="176"/>
      <c r="X28" s="176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</row>
    <row r="29" spans="1:37" ht="30" customHeight="1" x14ac:dyDescent="0.2">
      <c r="A29" s="182"/>
      <c r="B29" s="182"/>
      <c r="C29" s="182"/>
      <c r="D29" s="182"/>
      <c r="E29" s="177"/>
      <c r="F29" s="178"/>
      <c r="G29" s="179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176"/>
      <c r="X29" s="176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</row>
    <row r="30" spans="1:37" ht="30" customHeight="1" x14ac:dyDescent="0.2">
      <c r="A30" s="182"/>
      <c r="B30" s="182"/>
      <c r="C30" s="182"/>
      <c r="D30" s="182"/>
      <c r="E30" s="177"/>
      <c r="F30" s="178"/>
      <c r="G30" s="179"/>
      <c r="H30" s="176"/>
      <c r="I30" s="176"/>
      <c r="J30" s="176"/>
      <c r="K30" s="176"/>
      <c r="L30" s="176"/>
      <c r="M30" s="176"/>
      <c r="N30" s="176"/>
      <c r="O30" s="176"/>
      <c r="P30" s="176"/>
      <c r="Q30" s="176"/>
      <c r="R30" s="176"/>
      <c r="S30" s="176"/>
      <c r="T30" s="176"/>
      <c r="U30" s="176"/>
      <c r="V30" s="176"/>
      <c r="W30" s="176"/>
      <c r="X30" s="176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</row>
    <row r="31" spans="1:37" ht="30" customHeight="1" x14ac:dyDescent="0.2">
      <c r="A31" s="182"/>
      <c r="B31" s="182"/>
      <c r="C31" s="182"/>
      <c r="D31" s="182"/>
      <c r="E31" s="177"/>
      <c r="F31" s="178"/>
      <c r="G31" s="179"/>
      <c r="H31" s="176"/>
      <c r="I31" s="176"/>
      <c r="J31" s="176"/>
      <c r="K31" s="176"/>
      <c r="L31" s="176"/>
      <c r="M31" s="176"/>
      <c r="N31" s="176"/>
      <c r="O31" s="176"/>
      <c r="P31" s="176"/>
      <c r="Q31" s="176"/>
      <c r="R31" s="176"/>
      <c r="S31" s="176"/>
      <c r="T31" s="176"/>
      <c r="U31" s="176"/>
      <c r="V31" s="176"/>
      <c r="W31" s="176"/>
      <c r="X31" s="176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</row>
    <row r="32" spans="1:37" ht="30" customHeight="1" x14ac:dyDescent="0.2">
      <c r="A32" s="182"/>
      <c r="B32" s="182"/>
      <c r="C32" s="182"/>
      <c r="D32" s="182"/>
      <c r="E32" s="177"/>
      <c r="F32" s="178"/>
      <c r="G32" s="179"/>
      <c r="H32" s="176"/>
      <c r="I32" s="176"/>
      <c r="J32" s="176"/>
      <c r="K32" s="176"/>
      <c r="L32" s="176"/>
      <c r="M32" s="176"/>
      <c r="N32" s="176"/>
      <c r="O32" s="176"/>
      <c r="P32" s="176"/>
      <c r="Q32" s="176"/>
      <c r="R32" s="176"/>
      <c r="S32" s="176"/>
      <c r="T32" s="176"/>
      <c r="U32" s="176"/>
      <c r="V32" s="176"/>
      <c r="W32" s="176"/>
      <c r="X32" s="176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</row>
    <row r="33" spans="1:37" ht="30" customHeight="1" x14ac:dyDescent="0.2">
      <c r="A33" s="182"/>
      <c r="B33" s="182"/>
      <c r="C33" s="182"/>
      <c r="D33" s="182"/>
      <c r="E33" s="177"/>
      <c r="F33" s="178"/>
      <c r="G33" s="179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176"/>
      <c r="X33" s="176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</row>
    <row r="34" spans="1:37" ht="30" customHeight="1" x14ac:dyDescent="0.2">
      <c r="A34" s="182"/>
      <c r="B34" s="182"/>
      <c r="C34" s="182"/>
      <c r="D34" s="182"/>
      <c r="E34" s="177"/>
      <c r="F34" s="178"/>
      <c r="G34" s="179"/>
      <c r="H34" s="176"/>
      <c r="I34" s="176"/>
      <c r="J34" s="176"/>
      <c r="K34" s="176"/>
      <c r="L34" s="176"/>
      <c r="M34" s="176"/>
      <c r="N34" s="176"/>
      <c r="O34" s="176"/>
      <c r="P34" s="176"/>
      <c r="Q34" s="176"/>
      <c r="R34" s="176"/>
      <c r="S34" s="176"/>
      <c r="T34" s="176"/>
      <c r="U34" s="176"/>
      <c r="V34" s="176"/>
      <c r="W34" s="176"/>
      <c r="X34" s="176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</row>
    <row r="35" spans="1:37" ht="30" customHeight="1" x14ac:dyDescent="0.2">
      <c r="A35" s="182"/>
      <c r="B35" s="182"/>
      <c r="C35" s="182"/>
      <c r="D35" s="182"/>
      <c r="E35" s="177"/>
      <c r="F35" s="178"/>
      <c r="G35" s="179"/>
      <c r="H35" s="176"/>
      <c r="I35" s="176"/>
      <c r="J35" s="176"/>
      <c r="K35" s="176"/>
      <c r="L35" s="176"/>
      <c r="M35" s="176"/>
      <c r="N35" s="176"/>
      <c r="O35" s="176"/>
      <c r="P35" s="176"/>
      <c r="Q35" s="176"/>
      <c r="R35" s="176"/>
      <c r="S35" s="176"/>
      <c r="T35" s="176"/>
      <c r="U35" s="176"/>
      <c r="V35" s="176"/>
      <c r="W35" s="176"/>
      <c r="X35" s="176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</row>
    <row r="36" spans="1:37" ht="30" customHeight="1" x14ac:dyDescent="0.2">
      <c r="A36" s="182"/>
      <c r="B36" s="182"/>
      <c r="C36" s="182"/>
      <c r="D36" s="182"/>
      <c r="E36" s="177"/>
      <c r="F36" s="178"/>
      <c r="G36" s="179"/>
      <c r="H36" s="176"/>
      <c r="I36" s="176"/>
      <c r="J36" s="176"/>
      <c r="K36" s="176"/>
      <c r="L36" s="176"/>
      <c r="M36" s="176"/>
      <c r="N36" s="176"/>
      <c r="O36" s="176"/>
      <c r="P36" s="176"/>
      <c r="Q36" s="176"/>
      <c r="R36" s="176"/>
      <c r="S36" s="176"/>
      <c r="T36" s="176"/>
      <c r="U36" s="176"/>
      <c r="V36" s="176"/>
      <c r="W36" s="176"/>
      <c r="X36" s="176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</row>
    <row r="37" spans="1:37" ht="30" customHeight="1" x14ac:dyDescent="0.2">
      <c r="A37" s="182"/>
      <c r="B37" s="182"/>
      <c r="C37" s="182"/>
      <c r="D37" s="182"/>
      <c r="E37" s="177"/>
      <c r="F37" s="178"/>
      <c r="G37" s="179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176"/>
      <c r="X37" s="176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</row>
    <row r="38" spans="1:37" ht="30" customHeight="1" x14ac:dyDescent="0.2">
      <c r="A38" s="182"/>
      <c r="B38" s="182"/>
      <c r="C38" s="182"/>
      <c r="D38" s="182"/>
      <c r="E38" s="177"/>
      <c r="F38" s="178"/>
      <c r="G38" s="179"/>
      <c r="H38" s="176"/>
      <c r="I38" s="176"/>
      <c r="J38" s="176"/>
      <c r="K38" s="176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176"/>
      <c r="X38" s="176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</row>
    <row r="39" spans="1:37" ht="30" customHeight="1" x14ac:dyDescent="0.2">
      <c r="A39" s="182"/>
      <c r="B39" s="182"/>
      <c r="C39" s="182"/>
      <c r="D39" s="182"/>
      <c r="E39" s="177"/>
      <c r="F39" s="178"/>
      <c r="G39" s="179"/>
      <c r="H39" s="176"/>
      <c r="I39" s="176"/>
      <c r="J39" s="176"/>
      <c r="K39" s="176"/>
      <c r="L39" s="176"/>
      <c r="M39" s="176"/>
      <c r="N39" s="176"/>
      <c r="O39" s="176"/>
      <c r="P39" s="176"/>
      <c r="Q39" s="176"/>
      <c r="R39" s="176"/>
      <c r="S39" s="176"/>
      <c r="T39" s="176"/>
      <c r="U39" s="176"/>
      <c r="V39" s="176"/>
      <c r="W39" s="176"/>
      <c r="X39" s="176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</row>
    <row r="40" spans="1:37" ht="30" customHeight="1" x14ac:dyDescent="0.2">
      <c r="A40" s="182"/>
      <c r="B40" s="182"/>
      <c r="C40" s="182"/>
      <c r="D40" s="182"/>
      <c r="E40" s="177"/>
      <c r="F40" s="178"/>
      <c r="G40" s="179"/>
      <c r="H40" s="176"/>
      <c r="I40" s="176"/>
      <c r="J40" s="176"/>
      <c r="K40" s="176"/>
      <c r="L40" s="176"/>
      <c r="M40" s="176"/>
      <c r="N40" s="176"/>
      <c r="O40" s="176"/>
      <c r="P40" s="176"/>
      <c r="Q40" s="176"/>
      <c r="R40" s="176"/>
      <c r="S40" s="176"/>
      <c r="T40" s="176"/>
      <c r="U40" s="176"/>
      <c r="V40" s="176"/>
      <c r="W40" s="176"/>
      <c r="X40" s="176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</row>
    <row r="41" spans="1:37" ht="30" customHeight="1" x14ac:dyDescent="0.2">
      <c r="A41" s="182"/>
      <c r="B41" s="182"/>
      <c r="C41" s="182"/>
      <c r="D41" s="182"/>
      <c r="E41" s="177"/>
      <c r="F41" s="178"/>
      <c r="G41" s="179"/>
      <c r="H41" s="176"/>
      <c r="I41" s="176"/>
      <c r="J41" s="176"/>
      <c r="K41" s="176"/>
      <c r="L41" s="176"/>
      <c r="M41" s="176"/>
      <c r="N41" s="176"/>
      <c r="O41" s="176"/>
      <c r="P41" s="176"/>
      <c r="Q41" s="176"/>
      <c r="R41" s="176"/>
      <c r="S41" s="176"/>
      <c r="T41" s="176"/>
      <c r="U41" s="176"/>
      <c r="V41" s="176"/>
      <c r="W41" s="176"/>
      <c r="X41" s="176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</row>
    <row r="42" spans="1:37" ht="30" customHeight="1" x14ac:dyDescent="0.2">
      <c r="A42" s="182"/>
      <c r="B42" s="182"/>
      <c r="C42" s="182"/>
      <c r="D42" s="182"/>
      <c r="E42" s="177"/>
      <c r="F42" s="178"/>
      <c r="G42" s="179"/>
      <c r="H42" s="176"/>
      <c r="I42" s="176"/>
      <c r="J42" s="176"/>
      <c r="K42" s="176"/>
      <c r="L42" s="176"/>
      <c r="M42" s="176"/>
      <c r="N42" s="176"/>
      <c r="O42" s="176"/>
      <c r="P42" s="176"/>
      <c r="Q42" s="176"/>
      <c r="R42" s="176"/>
      <c r="S42" s="176"/>
      <c r="T42" s="176"/>
      <c r="U42" s="176"/>
      <c r="V42" s="176"/>
      <c r="W42" s="176"/>
      <c r="X42" s="176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</row>
    <row r="43" spans="1:37" ht="30" customHeight="1" x14ac:dyDescent="0.2">
      <c r="A43" s="182"/>
      <c r="B43" s="182"/>
      <c r="C43" s="182"/>
      <c r="D43" s="182"/>
      <c r="E43" s="177"/>
      <c r="F43" s="178"/>
      <c r="G43" s="179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176"/>
      <c r="X43" s="176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</row>
    <row r="44" spans="1:37" ht="30" customHeight="1" x14ac:dyDescent="0.2">
      <c r="A44" s="182"/>
      <c r="B44" s="182"/>
      <c r="C44" s="182"/>
      <c r="D44" s="182"/>
      <c r="E44" s="177"/>
      <c r="F44" s="178"/>
      <c r="G44" s="179"/>
      <c r="H44" s="176"/>
      <c r="I44" s="176"/>
      <c r="J44" s="176"/>
      <c r="K44" s="176"/>
      <c r="L44" s="176"/>
      <c r="M44" s="176"/>
      <c r="N44" s="176"/>
      <c r="O44" s="176"/>
      <c r="P44" s="176"/>
      <c r="Q44" s="176"/>
      <c r="R44" s="176"/>
      <c r="S44" s="176"/>
      <c r="T44" s="176"/>
      <c r="U44" s="176"/>
      <c r="V44" s="176"/>
      <c r="W44" s="176"/>
      <c r="X44" s="176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</row>
    <row r="45" spans="1:37" ht="30" customHeight="1" x14ac:dyDescent="0.2">
      <c r="A45" s="182"/>
      <c r="B45" s="182"/>
      <c r="C45" s="182"/>
      <c r="D45" s="182"/>
      <c r="E45" s="177"/>
      <c r="F45" s="178"/>
      <c r="G45" s="179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</row>
    <row r="46" spans="1:37" ht="30" customHeight="1" x14ac:dyDescent="0.2">
      <c r="A46" s="182"/>
      <c r="B46" s="182"/>
      <c r="C46" s="182"/>
      <c r="D46" s="182"/>
      <c r="E46" s="177"/>
      <c r="F46" s="178"/>
      <c r="G46" s="179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</row>
    <row r="47" spans="1:37" ht="30" customHeight="1" x14ac:dyDescent="0.2">
      <c r="A47" s="182"/>
      <c r="B47" s="182"/>
      <c r="C47" s="182"/>
      <c r="D47" s="182"/>
      <c r="E47" s="177"/>
      <c r="F47" s="178"/>
      <c r="G47" s="179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</row>
    <row r="48" spans="1:37" ht="30" customHeight="1" x14ac:dyDescent="0.2">
      <c r="A48" s="182"/>
      <c r="B48" s="182"/>
      <c r="C48" s="182"/>
      <c r="D48" s="182"/>
      <c r="E48" s="177"/>
      <c r="F48" s="178"/>
      <c r="G48" s="179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</row>
    <row r="49" spans="1:37" ht="30" customHeight="1" x14ac:dyDescent="0.2">
      <c r="A49" s="182"/>
      <c r="B49" s="182"/>
      <c r="C49" s="182"/>
      <c r="D49" s="182"/>
      <c r="E49" s="177"/>
      <c r="F49" s="178"/>
      <c r="G49" s="179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</row>
    <row r="50" spans="1:37" ht="30" customHeight="1" x14ac:dyDescent="0.2">
      <c r="A50" s="182"/>
      <c r="B50" s="182"/>
      <c r="C50" s="182"/>
      <c r="D50" s="182"/>
      <c r="E50" s="177"/>
      <c r="F50" s="178"/>
      <c r="G50" s="179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</row>
    <row r="51" spans="1:37" ht="30" customHeight="1" x14ac:dyDescent="0.2">
      <c r="A51" s="182"/>
      <c r="B51" s="182"/>
      <c r="C51" s="182"/>
      <c r="D51" s="182"/>
      <c r="E51" s="177"/>
      <c r="F51" s="178"/>
      <c r="G51" s="179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</row>
    <row r="52" spans="1:37" ht="30" customHeight="1" x14ac:dyDescent="0.2">
      <c r="A52" s="182"/>
      <c r="B52" s="182"/>
      <c r="C52" s="182"/>
      <c r="D52" s="182"/>
      <c r="E52" s="177"/>
      <c r="F52" s="178"/>
      <c r="G52" s="179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</row>
    <row r="53" spans="1:37" ht="30" customHeight="1" x14ac:dyDescent="0.2">
      <c r="A53" s="182"/>
      <c r="B53" s="182"/>
      <c r="C53" s="182"/>
      <c r="D53" s="182"/>
      <c r="E53" s="177"/>
      <c r="F53" s="178"/>
      <c r="G53" s="179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  <c r="W53" s="176"/>
      <c r="X53" s="176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</row>
    <row r="54" spans="1:37" ht="30" customHeight="1" x14ac:dyDescent="0.2">
      <c r="A54" s="182"/>
      <c r="B54" s="182"/>
      <c r="C54" s="182"/>
      <c r="D54" s="182"/>
      <c r="E54" s="177"/>
      <c r="F54" s="178"/>
      <c r="G54" s="179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</row>
    <row r="55" spans="1:37" ht="30" customHeight="1" x14ac:dyDescent="0.2">
      <c r="A55" s="182"/>
      <c r="B55" s="182"/>
      <c r="C55" s="182"/>
      <c r="D55" s="182"/>
      <c r="E55" s="177"/>
      <c r="F55" s="178"/>
      <c r="G55" s="179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  <c r="W55" s="176"/>
      <c r="X55" s="176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</row>
    <row r="56" spans="1:37" ht="30" customHeight="1" x14ac:dyDescent="0.2">
      <c r="A56" s="182"/>
      <c r="B56" s="182"/>
      <c r="C56" s="182"/>
      <c r="D56" s="182"/>
      <c r="E56" s="177"/>
      <c r="F56" s="178"/>
      <c r="G56" s="179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  <c r="W56" s="176"/>
      <c r="X56" s="176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</row>
    <row r="57" spans="1:37" ht="30" customHeight="1" x14ac:dyDescent="0.2">
      <c r="A57" s="182"/>
      <c r="B57" s="182"/>
      <c r="C57" s="182"/>
      <c r="D57" s="182"/>
      <c r="E57" s="177"/>
      <c r="F57" s="178"/>
      <c r="G57" s="179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  <c r="AK57" s="62"/>
    </row>
    <row r="58" spans="1:37" ht="30" customHeight="1" x14ac:dyDescent="0.2">
      <c r="A58" s="182"/>
      <c r="B58" s="182"/>
      <c r="C58" s="182"/>
      <c r="D58" s="182"/>
      <c r="E58" s="177"/>
      <c r="F58" s="178"/>
      <c r="G58" s="179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  <c r="W58" s="176"/>
      <c r="X58" s="176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  <c r="AK58" s="62"/>
    </row>
    <row r="59" spans="1:37" ht="30" customHeight="1" x14ac:dyDescent="0.2">
      <c r="A59" s="182"/>
      <c r="B59" s="182"/>
      <c r="C59" s="182"/>
      <c r="D59" s="182"/>
      <c r="E59" s="177"/>
      <c r="F59" s="178"/>
      <c r="G59" s="179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</row>
    <row r="60" spans="1:37" ht="30" customHeight="1" x14ac:dyDescent="0.2">
      <c r="A60" s="182"/>
      <c r="B60" s="182"/>
      <c r="C60" s="182"/>
      <c r="D60" s="182"/>
      <c r="E60" s="177"/>
      <c r="F60" s="178"/>
      <c r="G60" s="179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  <c r="W60" s="176"/>
      <c r="X60" s="176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</row>
    <row r="61" spans="1:37" ht="30" customHeight="1" x14ac:dyDescent="0.2">
      <c r="A61" s="182"/>
      <c r="B61" s="182"/>
      <c r="C61" s="182"/>
      <c r="D61" s="182"/>
      <c r="E61" s="177"/>
      <c r="F61" s="178"/>
      <c r="G61" s="179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  <c r="W61" s="176"/>
      <c r="X61" s="176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</row>
    <row r="62" spans="1:37" ht="30" customHeight="1" x14ac:dyDescent="0.2">
      <c r="A62" s="182"/>
      <c r="B62" s="182"/>
      <c r="C62" s="182"/>
      <c r="D62" s="182"/>
      <c r="E62" s="177"/>
      <c r="F62" s="178"/>
      <c r="G62" s="179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  <c r="W62" s="176"/>
      <c r="X62" s="176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</row>
    <row r="63" spans="1:37" ht="30" customHeight="1" x14ac:dyDescent="0.2">
      <c r="A63" s="182"/>
      <c r="B63" s="182"/>
      <c r="C63" s="182"/>
      <c r="D63" s="182"/>
      <c r="E63" s="177"/>
      <c r="F63" s="178"/>
      <c r="G63" s="179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  <c r="W63" s="176"/>
      <c r="X63" s="176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</row>
    <row r="64" spans="1:37" ht="30" customHeight="1" x14ac:dyDescent="0.2">
      <c r="A64" s="182"/>
      <c r="B64" s="182"/>
      <c r="C64" s="182"/>
      <c r="D64" s="182"/>
      <c r="E64" s="177"/>
      <c r="F64" s="178"/>
      <c r="G64" s="179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  <c r="W64" s="176"/>
      <c r="X64" s="176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</row>
    <row r="65" spans="1:37" ht="30" customHeight="1" x14ac:dyDescent="0.2">
      <c r="A65" s="182"/>
      <c r="B65" s="182"/>
      <c r="C65" s="182"/>
      <c r="D65" s="182"/>
      <c r="E65" s="177"/>
      <c r="F65" s="178"/>
      <c r="G65" s="179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</row>
    <row r="66" spans="1:37" ht="30" customHeight="1" x14ac:dyDescent="0.2">
      <c r="A66" s="182"/>
      <c r="B66" s="182"/>
      <c r="C66" s="182"/>
      <c r="D66" s="182"/>
      <c r="E66" s="177"/>
      <c r="F66" s="178"/>
      <c r="G66" s="179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  <c r="W66" s="176"/>
      <c r="X66" s="176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</row>
    <row r="67" spans="1:37" ht="30" customHeight="1" x14ac:dyDescent="0.2">
      <c r="A67" s="182"/>
      <c r="B67" s="182"/>
      <c r="C67" s="182"/>
      <c r="D67" s="182"/>
      <c r="E67" s="177"/>
      <c r="F67" s="178"/>
      <c r="G67" s="179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  <c r="W67" s="176"/>
      <c r="X67" s="176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  <c r="AK67" s="62"/>
    </row>
    <row r="68" spans="1:37" ht="30" customHeight="1" x14ac:dyDescent="0.2">
      <c r="A68" s="182"/>
      <c r="B68" s="182"/>
      <c r="C68" s="182"/>
      <c r="D68" s="182"/>
      <c r="E68" s="177"/>
      <c r="F68" s="178"/>
      <c r="G68" s="179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  <c r="W68" s="176"/>
      <c r="X68" s="176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</row>
    <row r="69" spans="1:37" ht="30" customHeight="1" x14ac:dyDescent="0.2">
      <c r="A69" s="182"/>
      <c r="B69" s="182"/>
      <c r="C69" s="182"/>
      <c r="D69" s="182"/>
      <c r="E69" s="177"/>
      <c r="F69" s="178"/>
      <c r="G69" s="179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  <c r="W69" s="176"/>
      <c r="X69" s="176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</row>
    <row r="70" spans="1:37" ht="30" customHeight="1" x14ac:dyDescent="0.2">
      <c r="A70" s="182"/>
      <c r="B70" s="182"/>
      <c r="C70" s="182"/>
      <c r="D70" s="182"/>
      <c r="E70" s="177"/>
      <c r="F70" s="178"/>
      <c r="G70" s="179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  <c r="S70" s="176"/>
      <c r="T70" s="176"/>
      <c r="U70" s="176"/>
      <c r="V70" s="176"/>
      <c r="W70" s="176"/>
      <c r="X70" s="176"/>
      <c r="Y70" s="62"/>
      <c r="Z70" s="62"/>
      <c r="AA70" s="62"/>
      <c r="AB70" s="62"/>
      <c r="AC70" s="62"/>
      <c r="AD70" s="62"/>
      <c r="AE70" s="62"/>
      <c r="AF70" s="62"/>
      <c r="AG70" s="62"/>
      <c r="AH70" s="62"/>
      <c r="AI70" s="62"/>
      <c r="AJ70" s="62"/>
      <c r="AK70" s="62"/>
    </row>
    <row r="71" spans="1:37" ht="30" customHeight="1" x14ac:dyDescent="0.2">
      <c r="A71" s="182"/>
      <c r="B71" s="182"/>
      <c r="C71" s="182"/>
      <c r="D71" s="182"/>
      <c r="E71" s="177"/>
      <c r="F71" s="178"/>
      <c r="G71" s="179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  <c r="S71" s="176"/>
      <c r="T71" s="176"/>
      <c r="U71" s="176"/>
      <c r="V71" s="176"/>
      <c r="W71" s="176"/>
      <c r="X71" s="176"/>
      <c r="Y71" s="62"/>
      <c r="Z71" s="62"/>
      <c r="AA71" s="62"/>
      <c r="AB71" s="62"/>
      <c r="AC71" s="62"/>
      <c r="AD71" s="62"/>
      <c r="AE71" s="62"/>
      <c r="AF71" s="62"/>
      <c r="AG71" s="62"/>
      <c r="AH71" s="62"/>
      <c r="AI71" s="62"/>
      <c r="AJ71" s="62"/>
      <c r="AK71" s="62"/>
    </row>
    <row r="72" spans="1:37" ht="30" customHeight="1" x14ac:dyDescent="0.2">
      <c r="A72" s="182"/>
      <c r="B72" s="182"/>
      <c r="C72" s="182"/>
      <c r="D72" s="182"/>
      <c r="E72" s="177"/>
      <c r="F72" s="178"/>
      <c r="G72" s="179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  <c r="S72" s="176"/>
      <c r="T72" s="176"/>
      <c r="U72" s="176"/>
      <c r="V72" s="176"/>
      <c r="W72" s="176"/>
      <c r="X72" s="176"/>
      <c r="Y72" s="62"/>
      <c r="Z72" s="62"/>
      <c r="AA72" s="62"/>
      <c r="AB72" s="62"/>
      <c r="AC72" s="62"/>
      <c r="AD72" s="62"/>
      <c r="AE72" s="62"/>
      <c r="AF72" s="62"/>
      <c r="AG72" s="62"/>
      <c r="AH72" s="62"/>
      <c r="AI72" s="62"/>
      <c r="AJ72" s="62"/>
      <c r="AK72" s="62"/>
    </row>
    <row r="73" spans="1:37" ht="30" customHeight="1" x14ac:dyDescent="0.2">
      <c r="A73" s="182"/>
      <c r="B73" s="182"/>
      <c r="C73" s="182"/>
      <c r="D73" s="182"/>
      <c r="E73" s="177"/>
      <c r="F73" s="178"/>
      <c r="G73" s="179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  <c r="S73" s="176"/>
      <c r="T73" s="176"/>
      <c r="U73" s="176"/>
      <c r="V73" s="176"/>
      <c r="W73" s="176"/>
      <c r="X73" s="176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</row>
    <row r="74" spans="1:37" ht="30" customHeight="1" x14ac:dyDescent="0.2">
      <c r="A74" s="182"/>
      <c r="B74" s="182"/>
      <c r="C74" s="182"/>
      <c r="D74" s="182"/>
      <c r="E74" s="177"/>
      <c r="F74" s="178"/>
      <c r="G74" s="179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</row>
    <row r="75" spans="1:37" ht="30" customHeight="1" x14ac:dyDescent="0.2">
      <c r="A75" s="182"/>
      <c r="B75" s="182"/>
      <c r="C75" s="182"/>
      <c r="D75" s="182"/>
      <c r="E75" s="177"/>
      <c r="F75" s="178"/>
      <c r="G75" s="179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</row>
    <row r="76" spans="1:37" ht="30" customHeight="1" x14ac:dyDescent="0.2">
      <c r="A76" s="182"/>
      <c r="B76" s="182"/>
      <c r="C76" s="182"/>
      <c r="D76" s="182"/>
      <c r="E76" s="177"/>
      <c r="F76" s="178"/>
      <c r="G76" s="179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  <c r="S76" s="176"/>
      <c r="T76" s="176"/>
      <c r="U76" s="176"/>
      <c r="V76" s="176"/>
      <c r="W76" s="176"/>
      <c r="X76" s="176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</row>
    <row r="77" spans="1:37" ht="30" customHeight="1" x14ac:dyDescent="0.2">
      <c r="A77" s="182"/>
      <c r="B77" s="182"/>
      <c r="C77" s="182"/>
      <c r="D77" s="182"/>
      <c r="E77" s="177"/>
      <c r="F77" s="178"/>
      <c r="G77" s="179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  <c r="S77" s="176"/>
      <c r="T77" s="176"/>
      <c r="U77" s="176"/>
      <c r="V77" s="176"/>
      <c r="W77" s="176"/>
      <c r="X77" s="176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</row>
    <row r="78" spans="1:37" ht="30" customHeight="1" x14ac:dyDescent="0.2">
      <c r="A78" s="182"/>
      <c r="B78" s="182"/>
      <c r="C78" s="182"/>
      <c r="D78" s="182"/>
      <c r="E78" s="177"/>
      <c r="F78" s="178"/>
      <c r="G78" s="179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  <c r="S78" s="176"/>
      <c r="T78" s="176"/>
      <c r="U78" s="176"/>
      <c r="V78" s="176"/>
      <c r="W78" s="176"/>
      <c r="X78" s="176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</row>
    <row r="79" spans="1:37" ht="30" customHeight="1" x14ac:dyDescent="0.2">
      <c r="A79" s="182"/>
      <c r="B79" s="182"/>
      <c r="C79" s="182"/>
      <c r="D79" s="182"/>
      <c r="E79" s="177"/>
      <c r="F79" s="178"/>
      <c r="G79" s="179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  <c r="S79" s="176"/>
      <c r="T79" s="176"/>
      <c r="U79" s="176"/>
      <c r="V79" s="176"/>
      <c r="W79" s="176"/>
      <c r="X79" s="176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</row>
    <row r="80" spans="1:37" ht="30" customHeight="1" x14ac:dyDescent="0.2">
      <c r="A80" s="182"/>
      <c r="B80" s="182"/>
      <c r="C80" s="182"/>
      <c r="D80" s="182"/>
      <c r="E80" s="177"/>
      <c r="F80" s="178"/>
      <c r="G80" s="179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</row>
    <row r="81" spans="1:37" ht="30" customHeight="1" x14ac:dyDescent="0.2">
      <c r="A81" s="182"/>
      <c r="B81" s="182"/>
      <c r="C81" s="182"/>
      <c r="D81" s="182"/>
      <c r="E81" s="177"/>
      <c r="F81" s="178"/>
      <c r="G81" s="179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  <c r="S81" s="176"/>
      <c r="T81" s="176"/>
      <c r="U81" s="176"/>
      <c r="V81" s="176"/>
      <c r="W81" s="176"/>
      <c r="X81" s="176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</row>
    <row r="82" spans="1:37" ht="30" customHeight="1" x14ac:dyDescent="0.2">
      <c r="A82" s="182"/>
      <c r="B82" s="182"/>
      <c r="C82" s="182"/>
      <c r="D82" s="182"/>
      <c r="E82" s="177"/>
      <c r="F82" s="178"/>
      <c r="G82" s="179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  <c r="S82" s="176"/>
      <c r="T82" s="176"/>
      <c r="U82" s="176"/>
      <c r="V82" s="176"/>
      <c r="W82" s="176"/>
      <c r="X82" s="176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</row>
    <row r="83" spans="1:37" ht="30" customHeight="1" x14ac:dyDescent="0.2">
      <c r="A83" s="182"/>
      <c r="B83" s="182"/>
      <c r="C83" s="182"/>
      <c r="D83" s="182"/>
      <c r="E83" s="177"/>
      <c r="F83" s="178"/>
      <c r="G83" s="179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  <c r="S83" s="176"/>
      <c r="T83" s="176"/>
      <c r="U83" s="176"/>
      <c r="V83" s="176"/>
      <c r="W83" s="176"/>
      <c r="X83" s="176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</row>
    <row r="84" spans="1:37" ht="30" customHeight="1" x14ac:dyDescent="0.2">
      <c r="A84" s="182"/>
      <c r="B84" s="182"/>
      <c r="C84" s="182"/>
      <c r="D84" s="182"/>
      <c r="E84" s="177"/>
      <c r="F84" s="178"/>
      <c r="G84" s="179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  <c r="S84" s="176"/>
      <c r="T84" s="176"/>
      <c r="U84" s="176"/>
      <c r="V84" s="176"/>
      <c r="W84" s="176"/>
      <c r="X84" s="176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</row>
    <row r="85" spans="1:37" ht="30" customHeight="1" x14ac:dyDescent="0.2">
      <c r="A85" s="182"/>
      <c r="B85" s="182"/>
      <c r="C85" s="182"/>
      <c r="D85" s="182"/>
      <c r="E85" s="177"/>
      <c r="F85" s="178"/>
      <c r="G85" s="179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62"/>
      <c r="Z85" s="62"/>
      <c r="AA85" s="62"/>
      <c r="AB85" s="62"/>
      <c r="AC85" s="62"/>
      <c r="AD85" s="62"/>
      <c r="AE85" s="62"/>
      <c r="AF85" s="62"/>
      <c r="AG85" s="62"/>
      <c r="AH85" s="62"/>
      <c r="AI85" s="62"/>
      <c r="AJ85" s="62"/>
      <c r="AK85" s="62"/>
    </row>
    <row r="86" spans="1:37" ht="30" customHeight="1" x14ac:dyDescent="0.2">
      <c r="A86" s="182"/>
      <c r="B86" s="182"/>
      <c r="C86" s="182"/>
      <c r="D86" s="182"/>
      <c r="E86" s="177"/>
      <c r="F86" s="178"/>
      <c r="G86" s="179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62"/>
      <c r="Z86" s="62"/>
      <c r="AA86" s="62"/>
      <c r="AB86" s="62"/>
      <c r="AC86" s="62"/>
      <c r="AD86" s="62"/>
      <c r="AE86" s="62"/>
      <c r="AF86" s="62"/>
      <c r="AG86" s="62"/>
      <c r="AH86" s="62"/>
      <c r="AI86" s="62"/>
      <c r="AJ86" s="62"/>
      <c r="AK86" s="62"/>
    </row>
    <row r="87" spans="1:37" ht="30" customHeight="1" x14ac:dyDescent="0.2">
      <c r="A87" s="182"/>
      <c r="B87" s="182"/>
      <c r="C87" s="182"/>
      <c r="D87" s="182"/>
      <c r="E87" s="177"/>
      <c r="F87" s="178"/>
      <c r="G87" s="179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  <c r="S87" s="176"/>
      <c r="T87" s="176"/>
      <c r="U87" s="176"/>
      <c r="V87" s="176"/>
      <c r="W87" s="176"/>
      <c r="X87" s="176"/>
      <c r="Y87" s="62"/>
      <c r="Z87" s="62"/>
      <c r="AA87" s="62"/>
      <c r="AB87" s="62"/>
      <c r="AC87" s="62"/>
      <c r="AD87" s="62"/>
      <c r="AE87" s="62"/>
      <c r="AF87" s="62"/>
      <c r="AG87" s="62"/>
      <c r="AH87" s="62"/>
      <c r="AI87" s="62"/>
      <c r="AJ87" s="62"/>
      <c r="AK87" s="62"/>
    </row>
    <row r="88" spans="1:37" ht="30" customHeight="1" x14ac:dyDescent="0.2">
      <c r="A88" s="182"/>
      <c r="B88" s="182"/>
      <c r="C88" s="182"/>
      <c r="D88" s="182"/>
      <c r="E88" s="177"/>
      <c r="F88" s="178"/>
      <c r="G88" s="179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  <c r="S88" s="176"/>
      <c r="T88" s="176"/>
      <c r="U88" s="176"/>
      <c r="V88" s="176"/>
      <c r="W88" s="176"/>
      <c r="X88" s="176"/>
      <c r="Y88" s="62"/>
      <c r="Z88" s="62"/>
      <c r="AA88" s="62"/>
      <c r="AB88" s="62"/>
      <c r="AC88" s="62"/>
      <c r="AD88" s="62"/>
      <c r="AE88" s="62"/>
      <c r="AF88" s="62"/>
      <c r="AG88" s="62"/>
      <c r="AH88" s="62"/>
      <c r="AI88" s="62"/>
      <c r="AJ88" s="62"/>
      <c r="AK88" s="62"/>
    </row>
    <row r="89" spans="1:37" ht="30" customHeight="1" x14ac:dyDescent="0.2">
      <c r="A89" s="182"/>
      <c r="B89" s="182"/>
      <c r="C89" s="182"/>
      <c r="D89" s="182"/>
      <c r="E89" s="177"/>
      <c r="F89" s="178"/>
      <c r="G89" s="179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  <c r="S89" s="176"/>
      <c r="T89" s="176"/>
      <c r="U89" s="176"/>
      <c r="V89" s="176"/>
      <c r="W89" s="176"/>
      <c r="X89" s="176"/>
      <c r="Y89" s="62"/>
      <c r="Z89" s="62"/>
      <c r="AA89" s="62"/>
      <c r="AB89" s="62"/>
      <c r="AC89" s="62"/>
      <c r="AD89" s="62"/>
      <c r="AE89" s="62"/>
      <c r="AF89" s="62"/>
      <c r="AG89" s="62"/>
      <c r="AH89" s="62"/>
      <c r="AI89" s="62"/>
      <c r="AJ89" s="62"/>
      <c r="AK89" s="62"/>
    </row>
    <row r="90" spans="1:37" ht="30" customHeight="1" x14ac:dyDescent="0.2">
      <c r="A90" s="182"/>
      <c r="B90" s="182"/>
      <c r="C90" s="182"/>
      <c r="D90" s="182"/>
      <c r="E90" s="177"/>
      <c r="F90" s="178"/>
      <c r="G90" s="179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  <c r="S90" s="176"/>
      <c r="T90" s="176"/>
      <c r="U90" s="176"/>
      <c r="V90" s="176"/>
      <c r="W90" s="176"/>
      <c r="X90" s="176"/>
      <c r="Y90" s="62"/>
      <c r="Z90" s="62"/>
      <c r="AA90" s="62"/>
      <c r="AB90" s="62"/>
      <c r="AC90" s="62"/>
      <c r="AD90" s="62"/>
      <c r="AE90" s="62"/>
      <c r="AF90" s="62"/>
      <c r="AG90" s="62"/>
      <c r="AH90" s="62"/>
      <c r="AI90" s="62"/>
      <c r="AJ90" s="62"/>
      <c r="AK90" s="62"/>
    </row>
    <row r="91" spans="1:37" ht="30" customHeight="1" x14ac:dyDescent="0.2">
      <c r="A91" s="182"/>
      <c r="B91" s="182"/>
      <c r="C91" s="182"/>
      <c r="D91" s="182"/>
      <c r="E91" s="177"/>
      <c r="F91" s="178"/>
      <c r="G91" s="179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  <c r="S91" s="176"/>
      <c r="T91" s="176"/>
      <c r="U91" s="176"/>
      <c r="V91" s="176"/>
      <c r="W91" s="176"/>
      <c r="X91" s="176"/>
      <c r="Y91" s="62"/>
      <c r="Z91" s="62"/>
      <c r="AA91" s="62"/>
      <c r="AB91" s="62"/>
      <c r="AC91" s="62"/>
      <c r="AD91" s="62"/>
      <c r="AE91" s="62"/>
      <c r="AF91" s="62"/>
      <c r="AG91" s="62"/>
      <c r="AH91" s="62"/>
      <c r="AI91" s="62"/>
      <c r="AJ91" s="62"/>
      <c r="AK91" s="62"/>
    </row>
    <row r="92" spans="1:37" ht="30" customHeight="1" x14ac:dyDescent="0.2">
      <c r="A92" s="182"/>
      <c r="B92" s="182"/>
      <c r="C92" s="182"/>
      <c r="D92" s="182"/>
      <c r="E92" s="177"/>
      <c r="F92" s="178"/>
      <c r="G92" s="179"/>
      <c r="H92" s="176"/>
      <c r="I92" s="176"/>
      <c r="J92" s="176"/>
      <c r="K92" s="176"/>
      <c r="L92" s="176"/>
      <c r="M92" s="176"/>
      <c r="N92" s="176"/>
      <c r="O92" s="176"/>
      <c r="P92" s="176"/>
      <c r="Q92" s="176"/>
      <c r="R92" s="176"/>
      <c r="S92" s="176"/>
      <c r="T92" s="176"/>
      <c r="U92" s="176"/>
      <c r="V92" s="176"/>
      <c r="W92" s="176"/>
      <c r="X92" s="176"/>
      <c r="Y92" s="62"/>
      <c r="Z92" s="62"/>
      <c r="AA92" s="62"/>
      <c r="AB92" s="62"/>
      <c r="AC92" s="62"/>
      <c r="AD92" s="62"/>
      <c r="AE92" s="62"/>
      <c r="AF92" s="62"/>
      <c r="AG92" s="62"/>
      <c r="AH92" s="62"/>
      <c r="AI92" s="62"/>
      <c r="AJ92" s="62"/>
      <c r="AK92" s="62"/>
    </row>
    <row r="93" spans="1:37" ht="30" customHeight="1" x14ac:dyDescent="0.2">
      <c r="A93" s="182"/>
      <c r="B93" s="182"/>
      <c r="C93" s="182"/>
      <c r="D93" s="182"/>
      <c r="E93" s="177"/>
      <c r="F93" s="178"/>
      <c r="G93" s="179"/>
      <c r="H93" s="176"/>
      <c r="I93" s="176"/>
      <c r="J93" s="176"/>
      <c r="K93" s="176"/>
      <c r="L93" s="176"/>
      <c r="M93" s="176"/>
      <c r="N93" s="176"/>
      <c r="O93" s="176"/>
      <c r="P93" s="176"/>
      <c r="Q93" s="176"/>
      <c r="R93" s="176"/>
      <c r="S93" s="176"/>
      <c r="T93" s="176"/>
      <c r="U93" s="176"/>
      <c r="V93" s="176"/>
      <c r="W93" s="176"/>
      <c r="X93" s="176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</row>
    <row r="94" spans="1:37" ht="30" customHeight="1" x14ac:dyDescent="0.2">
      <c r="A94" s="182"/>
      <c r="B94" s="182"/>
      <c r="C94" s="182"/>
      <c r="D94" s="182"/>
      <c r="E94" s="177"/>
      <c r="F94" s="178"/>
      <c r="G94" s="179"/>
      <c r="H94" s="176"/>
      <c r="I94" s="176"/>
      <c r="J94" s="176"/>
      <c r="K94" s="176"/>
      <c r="L94" s="176"/>
      <c r="M94" s="176"/>
      <c r="N94" s="176"/>
      <c r="O94" s="176"/>
      <c r="P94" s="176"/>
      <c r="Q94" s="176"/>
      <c r="R94" s="176"/>
      <c r="S94" s="176"/>
      <c r="T94" s="176"/>
      <c r="U94" s="176"/>
      <c r="V94" s="176"/>
      <c r="W94" s="176"/>
      <c r="X94" s="176"/>
      <c r="Y94" s="62"/>
      <c r="Z94" s="62"/>
      <c r="AA94" s="62"/>
      <c r="AB94" s="62"/>
      <c r="AC94" s="62"/>
      <c r="AD94" s="62"/>
      <c r="AE94" s="62"/>
      <c r="AF94" s="62"/>
      <c r="AG94" s="62"/>
      <c r="AH94" s="62"/>
      <c r="AI94" s="62"/>
      <c r="AJ94" s="62"/>
      <c r="AK94" s="62"/>
    </row>
    <row r="95" spans="1:37" ht="30" customHeight="1" x14ac:dyDescent="0.2">
      <c r="A95" s="182"/>
      <c r="B95" s="182"/>
      <c r="C95" s="182"/>
      <c r="D95" s="182"/>
      <c r="E95" s="177"/>
      <c r="F95" s="178"/>
      <c r="G95" s="179"/>
      <c r="H95" s="176"/>
      <c r="I95" s="176"/>
      <c r="J95" s="176"/>
      <c r="K95" s="176"/>
      <c r="L95" s="176"/>
      <c r="M95" s="176"/>
      <c r="N95" s="176"/>
      <c r="O95" s="176"/>
      <c r="P95" s="176"/>
      <c r="Q95" s="176"/>
      <c r="R95" s="176"/>
      <c r="S95" s="176"/>
      <c r="T95" s="176"/>
      <c r="U95" s="176"/>
      <c r="V95" s="176"/>
      <c r="W95" s="176"/>
      <c r="X95" s="176"/>
      <c r="Y95" s="62"/>
      <c r="Z95" s="62"/>
      <c r="AA95" s="62"/>
      <c r="AB95" s="62"/>
      <c r="AC95" s="62"/>
      <c r="AD95" s="62"/>
      <c r="AE95" s="62"/>
      <c r="AF95" s="62"/>
      <c r="AG95" s="62"/>
      <c r="AH95" s="62"/>
      <c r="AI95" s="62"/>
      <c r="AJ95" s="62"/>
      <c r="AK95" s="62"/>
    </row>
    <row r="96" spans="1:37" ht="30" customHeight="1" x14ac:dyDescent="0.2">
      <c r="A96" s="182"/>
      <c r="B96" s="182"/>
      <c r="C96" s="182"/>
      <c r="D96" s="182"/>
      <c r="E96" s="177"/>
      <c r="F96" s="178"/>
      <c r="G96" s="179"/>
      <c r="H96" s="176"/>
      <c r="I96" s="176"/>
      <c r="J96" s="176"/>
      <c r="K96" s="176"/>
      <c r="L96" s="176"/>
      <c r="M96" s="176"/>
      <c r="N96" s="176"/>
      <c r="O96" s="176"/>
      <c r="P96" s="176"/>
      <c r="Q96" s="176"/>
      <c r="R96" s="176"/>
      <c r="S96" s="176"/>
      <c r="T96" s="176"/>
      <c r="U96" s="176"/>
      <c r="V96" s="176"/>
      <c r="W96" s="176"/>
      <c r="X96" s="176"/>
      <c r="Y96" s="62"/>
      <c r="Z96" s="62"/>
      <c r="AA96" s="62"/>
      <c r="AB96" s="62"/>
      <c r="AC96" s="62"/>
      <c r="AD96" s="62"/>
      <c r="AE96" s="62"/>
      <c r="AF96" s="62"/>
      <c r="AG96" s="62"/>
      <c r="AH96" s="62"/>
      <c r="AI96" s="62"/>
      <c r="AJ96" s="62"/>
      <c r="AK96" s="62"/>
    </row>
    <row r="97" spans="1:37" ht="30" customHeight="1" x14ac:dyDescent="0.2">
      <c r="A97" s="182"/>
      <c r="B97" s="182"/>
      <c r="C97" s="182"/>
      <c r="D97" s="182"/>
      <c r="E97" s="177"/>
      <c r="F97" s="178"/>
      <c r="G97" s="179"/>
      <c r="H97" s="176"/>
      <c r="I97" s="176"/>
      <c r="J97" s="176"/>
      <c r="K97" s="176"/>
      <c r="L97" s="176"/>
      <c r="M97" s="176"/>
      <c r="N97" s="176"/>
      <c r="O97" s="176"/>
      <c r="P97" s="176"/>
      <c r="Q97" s="176"/>
      <c r="R97" s="176"/>
      <c r="S97" s="176"/>
      <c r="T97" s="176"/>
      <c r="U97" s="176"/>
      <c r="V97" s="176"/>
      <c r="W97" s="176"/>
      <c r="X97" s="176"/>
      <c r="Y97" s="62"/>
      <c r="Z97" s="62"/>
      <c r="AA97" s="62"/>
      <c r="AB97" s="62"/>
      <c r="AC97" s="62"/>
      <c r="AD97" s="62"/>
      <c r="AE97" s="62"/>
      <c r="AF97" s="62"/>
      <c r="AG97" s="62"/>
      <c r="AH97" s="62"/>
      <c r="AI97" s="62"/>
      <c r="AJ97" s="62"/>
      <c r="AK97" s="62"/>
    </row>
    <row r="98" spans="1:37" ht="30" customHeight="1" x14ac:dyDescent="0.2">
      <c r="A98" s="182"/>
      <c r="B98" s="182"/>
      <c r="C98" s="182"/>
      <c r="D98" s="182"/>
      <c r="E98" s="177"/>
      <c r="F98" s="178"/>
      <c r="G98" s="179"/>
      <c r="H98" s="176"/>
      <c r="I98" s="176"/>
      <c r="J98" s="176"/>
      <c r="K98" s="176"/>
      <c r="L98" s="176"/>
      <c r="M98" s="176"/>
      <c r="N98" s="176"/>
      <c r="O98" s="176"/>
      <c r="P98" s="176"/>
      <c r="Q98" s="176"/>
      <c r="R98" s="176"/>
      <c r="S98" s="176"/>
      <c r="T98" s="176"/>
      <c r="U98" s="176"/>
      <c r="V98" s="176"/>
      <c r="W98" s="176"/>
      <c r="X98" s="176"/>
      <c r="Y98" s="62"/>
      <c r="Z98" s="62"/>
      <c r="AA98" s="62"/>
      <c r="AB98" s="62"/>
      <c r="AC98" s="62"/>
      <c r="AD98" s="62"/>
      <c r="AE98" s="62"/>
      <c r="AF98" s="62"/>
      <c r="AG98" s="62"/>
      <c r="AH98" s="62"/>
      <c r="AI98" s="62"/>
      <c r="AJ98" s="62"/>
      <c r="AK98" s="62"/>
    </row>
    <row r="99" spans="1:37" ht="30" customHeight="1" x14ac:dyDescent="0.2">
      <c r="A99" s="182"/>
      <c r="B99" s="182"/>
      <c r="C99" s="182"/>
      <c r="D99" s="182"/>
      <c r="E99" s="177"/>
      <c r="F99" s="178"/>
      <c r="G99" s="179"/>
      <c r="H99" s="176"/>
      <c r="I99" s="176"/>
      <c r="J99" s="176"/>
      <c r="K99" s="176"/>
      <c r="L99" s="176"/>
      <c r="M99" s="176"/>
      <c r="N99" s="176"/>
      <c r="O99" s="176"/>
      <c r="P99" s="176"/>
      <c r="Q99" s="176"/>
      <c r="R99" s="176"/>
      <c r="S99" s="176"/>
      <c r="T99" s="176"/>
      <c r="U99" s="176"/>
      <c r="V99" s="176"/>
      <c r="W99" s="176"/>
      <c r="X99" s="176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</row>
    <row r="100" spans="1:37" ht="30" customHeight="1" x14ac:dyDescent="0.2">
      <c r="A100" s="182"/>
      <c r="B100" s="182"/>
      <c r="C100" s="182"/>
      <c r="D100" s="182"/>
      <c r="E100" s="177"/>
      <c r="F100" s="178"/>
      <c r="G100" s="179"/>
      <c r="H100" s="176"/>
      <c r="I100" s="176"/>
      <c r="J100" s="176"/>
      <c r="K100" s="176"/>
      <c r="L100" s="176"/>
      <c r="M100" s="176"/>
      <c r="N100" s="176"/>
      <c r="O100" s="176"/>
      <c r="P100" s="176"/>
      <c r="Q100" s="176"/>
      <c r="R100" s="176"/>
      <c r="S100" s="176"/>
      <c r="T100" s="176"/>
      <c r="U100" s="176"/>
      <c r="V100" s="176"/>
      <c r="W100" s="176"/>
      <c r="X100" s="176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</row>
    <row r="101" spans="1:37" ht="30" customHeight="1" x14ac:dyDescent="0.2">
      <c r="A101" s="182"/>
      <c r="B101" s="182"/>
      <c r="C101" s="182"/>
      <c r="D101" s="182"/>
      <c r="E101" s="177"/>
      <c r="F101" s="178"/>
      <c r="G101" s="179"/>
      <c r="H101" s="176"/>
      <c r="I101" s="176"/>
      <c r="J101" s="176"/>
      <c r="K101" s="176"/>
      <c r="L101" s="176"/>
      <c r="M101" s="176"/>
      <c r="N101" s="176"/>
      <c r="O101" s="176"/>
      <c r="P101" s="176"/>
      <c r="Q101" s="176"/>
      <c r="R101" s="176"/>
      <c r="S101" s="176"/>
      <c r="T101" s="176"/>
      <c r="U101" s="176"/>
      <c r="V101" s="176"/>
      <c r="W101" s="176"/>
      <c r="X101" s="176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</row>
    <row r="102" spans="1:37" ht="30" customHeight="1" x14ac:dyDescent="0.2">
      <c r="A102" s="182"/>
      <c r="B102" s="182"/>
      <c r="C102" s="182"/>
      <c r="D102" s="182"/>
      <c r="E102" s="177"/>
      <c r="F102" s="178"/>
      <c r="G102" s="179"/>
      <c r="H102" s="176"/>
      <c r="I102" s="176"/>
      <c r="J102" s="176"/>
      <c r="K102" s="176"/>
      <c r="L102" s="176"/>
      <c r="M102" s="176"/>
      <c r="N102" s="176"/>
      <c r="O102" s="176"/>
      <c r="P102" s="176"/>
      <c r="Q102" s="176"/>
      <c r="R102" s="176"/>
      <c r="S102" s="176"/>
      <c r="T102" s="176"/>
      <c r="U102" s="176"/>
      <c r="V102" s="176"/>
      <c r="W102" s="176"/>
      <c r="X102" s="176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</row>
    <row r="103" spans="1:37" ht="30" customHeight="1" x14ac:dyDescent="0.2">
      <c r="A103" s="182"/>
      <c r="B103" s="182"/>
      <c r="C103" s="182"/>
      <c r="D103" s="182"/>
      <c r="E103" s="177"/>
      <c r="F103" s="178"/>
      <c r="G103" s="179"/>
      <c r="H103" s="176"/>
      <c r="I103" s="176"/>
      <c r="J103" s="176"/>
      <c r="K103" s="176"/>
      <c r="L103" s="176"/>
      <c r="M103" s="176"/>
      <c r="N103" s="176"/>
      <c r="O103" s="176"/>
      <c r="P103" s="176"/>
      <c r="Q103" s="176"/>
      <c r="R103" s="176"/>
      <c r="S103" s="176"/>
      <c r="T103" s="176"/>
      <c r="U103" s="176"/>
      <c r="V103" s="176"/>
      <c r="W103" s="176"/>
      <c r="X103" s="176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</row>
    <row r="104" spans="1:37" ht="30" customHeight="1" x14ac:dyDescent="0.2">
      <c r="A104" s="182"/>
      <c r="B104" s="182"/>
      <c r="C104" s="182"/>
      <c r="D104" s="182"/>
      <c r="E104" s="177"/>
      <c r="F104" s="178"/>
      <c r="G104" s="179"/>
      <c r="H104" s="176"/>
      <c r="I104" s="176"/>
      <c r="J104" s="176"/>
      <c r="K104" s="176"/>
      <c r="L104" s="176"/>
      <c r="M104" s="176"/>
      <c r="N104" s="176"/>
      <c r="O104" s="176"/>
      <c r="P104" s="176"/>
      <c r="Q104" s="176"/>
      <c r="R104" s="176"/>
      <c r="S104" s="176"/>
      <c r="T104" s="176"/>
      <c r="U104" s="176"/>
      <c r="V104" s="176"/>
      <c r="W104" s="176"/>
      <c r="X104" s="176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</row>
    <row r="105" spans="1:37" ht="30" customHeight="1" x14ac:dyDescent="0.2">
      <c r="A105" s="182"/>
      <c r="B105" s="182"/>
      <c r="C105" s="182"/>
      <c r="D105" s="182"/>
      <c r="E105" s="177"/>
      <c r="F105" s="178"/>
      <c r="G105" s="179"/>
      <c r="H105" s="176"/>
      <c r="I105" s="176"/>
      <c r="J105" s="176"/>
      <c r="K105" s="176"/>
      <c r="L105" s="176"/>
      <c r="M105" s="176"/>
      <c r="N105" s="176"/>
      <c r="O105" s="176"/>
      <c r="P105" s="176"/>
      <c r="Q105" s="176"/>
      <c r="R105" s="176"/>
      <c r="S105" s="176"/>
      <c r="T105" s="176"/>
      <c r="U105" s="176"/>
      <c r="V105" s="176"/>
      <c r="W105" s="176"/>
      <c r="X105" s="176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</row>
    <row r="106" spans="1:37" ht="30" customHeight="1" x14ac:dyDescent="0.2">
      <c r="A106" s="182"/>
      <c r="B106" s="182"/>
      <c r="C106" s="182"/>
      <c r="D106" s="182"/>
      <c r="E106" s="177"/>
      <c r="F106" s="178"/>
      <c r="G106" s="179"/>
      <c r="H106" s="176"/>
      <c r="I106" s="176"/>
      <c r="J106" s="176"/>
      <c r="K106" s="176"/>
      <c r="L106" s="176"/>
      <c r="M106" s="176"/>
      <c r="N106" s="176"/>
      <c r="O106" s="176"/>
      <c r="P106" s="176"/>
      <c r="Q106" s="176"/>
      <c r="R106" s="176"/>
      <c r="S106" s="176"/>
      <c r="T106" s="176"/>
      <c r="U106" s="176"/>
      <c r="V106" s="176"/>
      <c r="W106" s="176"/>
      <c r="X106" s="176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</row>
    <row r="107" spans="1:37" ht="30" customHeight="1" x14ac:dyDescent="0.2">
      <c r="A107" s="182"/>
      <c r="B107" s="182"/>
      <c r="C107" s="182"/>
      <c r="D107" s="182"/>
      <c r="E107" s="177"/>
      <c r="F107" s="178"/>
      <c r="G107" s="179"/>
      <c r="H107" s="176"/>
      <c r="I107" s="176"/>
      <c r="J107" s="176"/>
      <c r="K107" s="176"/>
      <c r="L107" s="176"/>
      <c r="M107" s="176"/>
      <c r="N107" s="176"/>
      <c r="O107" s="176"/>
      <c r="P107" s="176"/>
      <c r="Q107" s="176"/>
      <c r="R107" s="176"/>
      <c r="S107" s="176"/>
      <c r="T107" s="176"/>
      <c r="U107" s="176"/>
      <c r="V107" s="176"/>
      <c r="W107" s="176"/>
      <c r="X107" s="176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</row>
    <row r="108" spans="1:37" ht="30" customHeight="1" x14ac:dyDescent="0.2">
      <c r="A108" s="182"/>
      <c r="B108" s="182"/>
      <c r="C108" s="182"/>
      <c r="D108" s="182"/>
      <c r="E108" s="177"/>
      <c r="F108" s="178"/>
      <c r="G108" s="179"/>
      <c r="H108" s="176"/>
      <c r="I108" s="176"/>
      <c r="J108" s="176"/>
      <c r="K108" s="176"/>
      <c r="L108" s="176"/>
      <c r="M108" s="176"/>
      <c r="N108" s="176"/>
      <c r="O108" s="176"/>
      <c r="P108" s="176"/>
      <c r="Q108" s="176"/>
      <c r="R108" s="176"/>
      <c r="S108" s="176"/>
      <c r="T108" s="176"/>
      <c r="U108" s="176"/>
      <c r="V108" s="176"/>
      <c r="W108" s="176"/>
      <c r="X108" s="176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</row>
    <row r="109" spans="1:37" ht="30" customHeight="1" x14ac:dyDescent="0.2">
      <c r="A109" s="182"/>
      <c r="B109" s="182"/>
      <c r="C109" s="182"/>
      <c r="D109" s="182"/>
      <c r="E109" s="177"/>
      <c r="F109" s="178"/>
      <c r="G109" s="179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</row>
    <row r="110" spans="1:37" ht="30" customHeight="1" x14ac:dyDescent="0.2">
      <c r="A110" s="182"/>
      <c r="B110" s="182"/>
      <c r="C110" s="182"/>
      <c r="D110" s="182"/>
      <c r="E110" s="177"/>
      <c r="F110" s="178"/>
      <c r="G110" s="179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</row>
    <row r="111" spans="1:37" ht="30" customHeight="1" x14ac:dyDescent="0.2">
      <c r="A111" s="182"/>
      <c r="B111" s="182"/>
      <c r="C111" s="182"/>
      <c r="D111" s="182"/>
      <c r="E111" s="177"/>
      <c r="F111" s="178"/>
      <c r="G111" s="179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</row>
    <row r="112" spans="1:37" ht="30" customHeight="1" x14ac:dyDescent="0.2">
      <c r="A112" s="182"/>
      <c r="B112" s="182"/>
      <c r="C112" s="182"/>
      <c r="D112" s="182"/>
      <c r="E112" s="177"/>
      <c r="F112" s="178"/>
      <c r="G112" s="179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</row>
    <row r="113" spans="1:37" ht="30" customHeight="1" x14ac:dyDescent="0.2">
      <c r="A113" s="182"/>
      <c r="B113" s="182"/>
      <c r="C113" s="182"/>
      <c r="D113" s="182"/>
      <c r="E113" s="177"/>
      <c r="F113" s="178"/>
      <c r="G113" s="179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</row>
    <row r="114" spans="1:37" ht="30" customHeight="1" x14ac:dyDescent="0.2">
      <c r="A114" s="182"/>
      <c r="B114" s="182"/>
      <c r="C114" s="182"/>
      <c r="D114" s="182"/>
      <c r="E114" s="177"/>
      <c r="F114" s="178"/>
      <c r="G114" s="179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</row>
    <row r="115" spans="1:37" ht="30" customHeight="1" x14ac:dyDescent="0.2">
      <c r="A115" s="182"/>
      <c r="B115" s="182"/>
      <c r="C115" s="182"/>
      <c r="D115" s="182"/>
      <c r="E115" s="177"/>
      <c r="F115" s="178"/>
      <c r="G115" s="179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</row>
    <row r="116" spans="1:37" ht="30" customHeight="1" x14ac:dyDescent="0.2">
      <c r="A116" s="182"/>
      <c r="B116" s="182"/>
      <c r="C116" s="182"/>
      <c r="D116" s="182"/>
      <c r="E116" s="177"/>
      <c r="F116" s="178"/>
      <c r="G116" s="179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</row>
    <row r="117" spans="1:37" ht="30" customHeight="1" x14ac:dyDescent="0.2">
      <c r="A117" s="182"/>
      <c r="B117" s="182"/>
      <c r="C117" s="182"/>
      <c r="D117" s="182"/>
      <c r="E117" s="177"/>
      <c r="F117" s="178"/>
      <c r="G117" s="179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6"/>
      <c r="W117" s="176"/>
      <c r="X117" s="176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</row>
    <row r="118" spans="1:37" ht="30" customHeight="1" x14ac:dyDescent="0.2">
      <c r="A118" s="182"/>
      <c r="B118" s="182"/>
      <c r="C118" s="182"/>
      <c r="D118" s="182"/>
      <c r="E118" s="177"/>
      <c r="F118" s="178"/>
      <c r="G118" s="179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6"/>
      <c r="W118" s="176"/>
      <c r="X118" s="176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</row>
    <row r="119" spans="1:37" ht="30" customHeight="1" x14ac:dyDescent="0.2">
      <c r="A119" s="182"/>
      <c r="B119" s="182"/>
      <c r="C119" s="182"/>
      <c r="D119" s="182"/>
      <c r="E119" s="177"/>
      <c r="F119" s="178"/>
      <c r="G119" s="179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6"/>
      <c r="W119" s="176"/>
      <c r="X119" s="176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</row>
    <row r="120" spans="1:37" ht="30" customHeight="1" x14ac:dyDescent="0.2">
      <c r="A120" s="182"/>
      <c r="B120" s="182"/>
      <c r="C120" s="182"/>
      <c r="D120" s="182"/>
      <c r="E120" s="177"/>
      <c r="F120" s="178"/>
      <c r="G120" s="179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6"/>
      <c r="W120" s="176"/>
      <c r="X120" s="176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</row>
    <row r="121" spans="1:37" ht="30" customHeight="1" x14ac:dyDescent="0.2">
      <c r="A121" s="182"/>
      <c r="B121" s="182"/>
      <c r="C121" s="182"/>
      <c r="D121" s="182"/>
      <c r="E121" s="177"/>
      <c r="F121" s="178"/>
      <c r="G121" s="179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6"/>
      <c r="W121" s="176"/>
      <c r="X121" s="176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</row>
    <row r="122" spans="1:37" ht="30" customHeight="1" x14ac:dyDescent="0.2">
      <c r="A122" s="182"/>
      <c r="B122" s="182"/>
      <c r="C122" s="182"/>
      <c r="D122" s="182"/>
      <c r="E122" s="177"/>
      <c r="F122" s="178"/>
      <c r="G122" s="179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6"/>
      <c r="W122" s="176"/>
      <c r="X122" s="176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</row>
    <row r="123" spans="1:37" ht="30" customHeight="1" x14ac:dyDescent="0.2">
      <c r="A123" s="182"/>
      <c r="B123" s="182"/>
      <c r="C123" s="182"/>
      <c r="D123" s="182"/>
      <c r="E123" s="177"/>
      <c r="F123" s="178"/>
      <c r="G123" s="179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6"/>
      <c r="W123" s="176"/>
      <c r="X123" s="176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</row>
    <row r="124" spans="1:37" ht="30" customHeight="1" x14ac:dyDescent="0.2">
      <c r="A124" s="182"/>
      <c r="B124" s="182"/>
      <c r="C124" s="182"/>
      <c r="D124" s="182"/>
      <c r="E124" s="177"/>
      <c r="F124" s="178"/>
      <c r="G124" s="179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6"/>
      <c r="W124" s="176"/>
      <c r="X124" s="176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</row>
    <row r="125" spans="1:37" ht="30" customHeight="1" x14ac:dyDescent="0.2">
      <c r="A125" s="182"/>
      <c r="B125" s="182"/>
      <c r="C125" s="182"/>
      <c r="D125" s="182"/>
      <c r="E125" s="177"/>
      <c r="F125" s="178"/>
      <c r="G125" s="179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6"/>
      <c r="W125" s="176"/>
      <c r="X125" s="176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</row>
    <row r="126" spans="1:37" ht="30" customHeight="1" x14ac:dyDescent="0.2">
      <c r="A126" s="182"/>
      <c r="B126" s="182"/>
      <c r="C126" s="182"/>
      <c r="D126" s="182"/>
      <c r="E126" s="177"/>
      <c r="F126" s="178"/>
      <c r="G126" s="179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6"/>
      <c r="W126" s="176"/>
      <c r="X126" s="176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</row>
    <row r="127" spans="1:37" ht="30" customHeight="1" x14ac:dyDescent="0.2">
      <c r="A127" s="182"/>
      <c r="B127" s="182"/>
      <c r="C127" s="182"/>
      <c r="D127" s="182"/>
      <c r="E127" s="177"/>
      <c r="F127" s="178"/>
      <c r="G127" s="179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</row>
    <row r="128" spans="1:37" ht="30" customHeight="1" x14ac:dyDescent="0.2">
      <c r="A128" s="182"/>
      <c r="B128" s="182"/>
      <c r="C128" s="182"/>
      <c r="D128" s="182"/>
      <c r="E128" s="177"/>
      <c r="F128" s="178"/>
      <c r="G128" s="179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6"/>
      <c r="W128" s="176"/>
      <c r="X128" s="176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</row>
    <row r="129" spans="1:37" ht="30" customHeight="1" x14ac:dyDescent="0.2">
      <c r="A129" s="182"/>
      <c r="B129" s="182"/>
      <c r="C129" s="182"/>
      <c r="D129" s="182"/>
      <c r="E129" s="177"/>
      <c r="F129" s="178"/>
      <c r="G129" s="179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6"/>
      <c r="W129" s="176"/>
      <c r="X129" s="176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</row>
    <row r="130" spans="1:37" ht="30" customHeight="1" x14ac:dyDescent="0.2">
      <c r="A130" s="182"/>
      <c r="B130" s="182"/>
      <c r="C130" s="182"/>
      <c r="D130" s="182"/>
      <c r="E130" s="177"/>
      <c r="F130" s="178"/>
      <c r="G130" s="179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6"/>
      <c r="W130" s="176"/>
      <c r="X130" s="176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</row>
    <row r="131" spans="1:37" ht="30" customHeight="1" x14ac:dyDescent="0.2">
      <c r="A131" s="182"/>
      <c r="B131" s="182"/>
      <c r="C131" s="182"/>
      <c r="D131" s="182"/>
      <c r="E131" s="177"/>
      <c r="F131" s="178"/>
      <c r="G131" s="179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6"/>
      <c r="W131" s="176"/>
      <c r="X131" s="176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</row>
    <row r="132" spans="1:37" ht="30" customHeight="1" x14ac:dyDescent="0.2">
      <c r="A132" s="182"/>
      <c r="B132" s="182"/>
      <c r="C132" s="182"/>
      <c r="D132" s="182"/>
      <c r="E132" s="177"/>
      <c r="F132" s="178"/>
      <c r="G132" s="179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6"/>
      <c r="W132" s="176"/>
      <c r="X132" s="176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</row>
    <row r="133" spans="1:37" ht="30" customHeight="1" x14ac:dyDescent="0.2">
      <c r="A133" s="182"/>
      <c r="B133" s="182"/>
      <c r="C133" s="182"/>
      <c r="D133" s="182"/>
      <c r="E133" s="177"/>
      <c r="F133" s="178"/>
      <c r="G133" s="179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</row>
    <row r="134" spans="1:37" ht="30" customHeight="1" x14ac:dyDescent="0.2">
      <c r="A134" s="182"/>
      <c r="B134" s="182"/>
      <c r="C134" s="182"/>
      <c r="D134" s="182"/>
      <c r="E134" s="177"/>
      <c r="F134" s="178"/>
      <c r="G134" s="179"/>
      <c r="H134" s="176"/>
      <c r="I134" s="176"/>
      <c r="J134" s="176"/>
      <c r="K134" s="176"/>
      <c r="L134" s="176"/>
      <c r="M134" s="176"/>
      <c r="N134" s="176"/>
      <c r="O134" s="176"/>
      <c r="P134" s="176"/>
      <c r="Q134" s="176"/>
      <c r="R134" s="176"/>
      <c r="S134" s="176"/>
      <c r="T134" s="176"/>
      <c r="U134" s="176"/>
      <c r="V134" s="176"/>
      <c r="W134" s="176"/>
      <c r="X134" s="176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</row>
    <row r="135" spans="1:37" ht="30" customHeight="1" x14ac:dyDescent="0.2">
      <c r="A135" s="182"/>
      <c r="B135" s="182"/>
      <c r="C135" s="182"/>
      <c r="D135" s="182"/>
      <c r="E135" s="177"/>
      <c r="F135" s="178"/>
      <c r="G135" s="179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6"/>
      <c r="W135" s="176"/>
      <c r="X135" s="176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</row>
    <row r="136" spans="1:37" ht="30" customHeight="1" x14ac:dyDescent="0.2">
      <c r="A136" s="182"/>
      <c r="B136" s="182"/>
      <c r="C136" s="182"/>
      <c r="D136" s="182"/>
      <c r="E136" s="177"/>
      <c r="F136" s="178"/>
      <c r="G136" s="179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6"/>
      <c r="X136" s="176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</row>
    <row r="137" spans="1:37" ht="30" customHeight="1" x14ac:dyDescent="0.2">
      <c r="A137" s="182"/>
      <c r="B137" s="182"/>
      <c r="C137" s="182"/>
      <c r="D137" s="182"/>
      <c r="E137" s="177"/>
      <c r="F137" s="178"/>
      <c r="G137" s="179"/>
      <c r="H137" s="176"/>
      <c r="I137" s="176"/>
      <c r="J137" s="176"/>
      <c r="K137" s="176"/>
      <c r="L137" s="176"/>
      <c r="M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6"/>
      <c r="X137" s="176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</row>
    <row r="138" spans="1:37" ht="30" customHeight="1" x14ac:dyDescent="0.2">
      <c r="A138" s="182"/>
      <c r="B138" s="182"/>
      <c r="C138" s="182"/>
      <c r="D138" s="182"/>
      <c r="E138" s="177"/>
      <c r="F138" s="178"/>
      <c r="G138" s="179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6"/>
      <c r="X138" s="176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</row>
    <row r="139" spans="1:37" ht="30" customHeight="1" x14ac:dyDescent="0.2">
      <c r="A139" s="182"/>
      <c r="B139" s="182"/>
      <c r="C139" s="182"/>
      <c r="D139" s="182"/>
      <c r="E139" s="177"/>
      <c r="F139" s="178"/>
      <c r="G139" s="179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</row>
    <row r="140" spans="1:37" ht="30" customHeight="1" x14ac:dyDescent="0.2">
      <c r="A140" s="182"/>
      <c r="B140" s="182"/>
      <c r="C140" s="182"/>
      <c r="D140" s="182"/>
      <c r="E140" s="177"/>
      <c r="F140" s="178"/>
      <c r="G140" s="179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6"/>
      <c r="V140" s="176"/>
      <c r="W140" s="176"/>
      <c r="X140" s="176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</row>
    <row r="141" spans="1:37" ht="30" customHeight="1" x14ac:dyDescent="0.2">
      <c r="A141" s="182"/>
      <c r="B141" s="182"/>
      <c r="C141" s="182"/>
      <c r="D141" s="182"/>
      <c r="E141" s="177"/>
      <c r="F141" s="178"/>
      <c r="G141" s="179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6"/>
      <c r="X141" s="176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</row>
    <row r="142" spans="1:37" ht="30" customHeight="1" x14ac:dyDescent="0.2">
      <c r="A142" s="182"/>
      <c r="B142" s="182"/>
      <c r="C142" s="182"/>
      <c r="D142" s="182"/>
      <c r="E142" s="177"/>
      <c r="F142" s="178"/>
      <c r="G142" s="179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6"/>
      <c r="V142" s="176"/>
      <c r="W142" s="176"/>
      <c r="X142" s="176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</row>
    <row r="143" spans="1:37" ht="30" customHeight="1" x14ac:dyDescent="0.2">
      <c r="A143" s="182"/>
      <c r="B143" s="182"/>
      <c r="C143" s="182"/>
      <c r="D143" s="182"/>
      <c r="E143" s="177"/>
      <c r="F143" s="178"/>
      <c r="G143" s="179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6"/>
      <c r="V143" s="176"/>
      <c r="W143" s="176"/>
      <c r="X143" s="176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</row>
    <row r="144" spans="1:37" ht="30" customHeight="1" x14ac:dyDescent="0.2">
      <c r="A144" s="182"/>
      <c r="B144" s="182"/>
      <c r="C144" s="182"/>
      <c r="D144" s="182"/>
      <c r="E144" s="177"/>
      <c r="F144" s="178"/>
      <c r="G144" s="179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6"/>
      <c r="X144" s="176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</row>
    <row r="145" spans="1:37" ht="30" customHeight="1" x14ac:dyDescent="0.2">
      <c r="A145" s="182"/>
      <c r="B145" s="182"/>
      <c r="C145" s="182"/>
      <c r="D145" s="182"/>
      <c r="E145" s="177"/>
      <c r="F145" s="178"/>
      <c r="G145" s="179"/>
      <c r="H145" s="176"/>
      <c r="I145" s="176"/>
      <c r="J145" s="176"/>
      <c r="K145" s="176"/>
      <c r="L145" s="176"/>
      <c r="M145" s="176"/>
      <c r="N145" s="176"/>
      <c r="O145" s="176"/>
      <c r="P145" s="176"/>
      <c r="Q145" s="176"/>
      <c r="R145" s="176"/>
      <c r="S145" s="176"/>
      <c r="T145" s="176"/>
      <c r="U145" s="176"/>
      <c r="V145" s="176"/>
      <c r="W145" s="176"/>
      <c r="X145" s="176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</row>
    <row r="146" spans="1:37" ht="30" customHeight="1" x14ac:dyDescent="0.2">
      <c r="A146" s="182"/>
      <c r="B146" s="182"/>
      <c r="C146" s="182"/>
      <c r="D146" s="182"/>
      <c r="E146" s="177"/>
      <c r="F146" s="178"/>
      <c r="G146" s="179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6"/>
      <c r="X146" s="176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</row>
    <row r="147" spans="1:37" ht="30" customHeight="1" x14ac:dyDescent="0.2">
      <c r="A147" s="182"/>
      <c r="B147" s="182"/>
      <c r="C147" s="182"/>
      <c r="D147" s="182"/>
      <c r="E147" s="177"/>
      <c r="F147" s="178"/>
      <c r="G147" s="179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6"/>
      <c r="X147" s="176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</row>
    <row r="148" spans="1:37" ht="30" customHeight="1" x14ac:dyDescent="0.2">
      <c r="A148" s="182"/>
      <c r="B148" s="182"/>
      <c r="C148" s="182"/>
      <c r="D148" s="182"/>
      <c r="E148" s="177"/>
      <c r="F148" s="178"/>
      <c r="G148" s="179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6"/>
      <c r="X148" s="176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</row>
    <row r="149" spans="1:37" ht="30" customHeight="1" x14ac:dyDescent="0.2">
      <c r="A149" s="182"/>
      <c r="B149" s="182"/>
      <c r="C149" s="182"/>
      <c r="D149" s="182"/>
      <c r="E149" s="177"/>
      <c r="F149" s="178"/>
      <c r="G149" s="179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6"/>
      <c r="W149" s="176"/>
      <c r="X149" s="176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</row>
    <row r="150" spans="1:37" ht="30" customHeight="1" x14ac:dyDescent="0.2">
      <c r="A150" s="182"/>
      <c r="B150" s="182"/>
      <c r="C150" s="182"/>
      <c r="D150" s="182"/>
      <c r="E150" s="177"/>
      <c r="F150" s="178"/>
      <c r="G150" s="179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6"/>
      <c r="W150" s="176"/>
      <c r="X150" s="176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</row>
    <row r="151" spans="1:37" ht="30" customHeight="1" x14ac:dyDescent="0.2">
      <c r="A151" s="182"/>
      <c r="B151" s="182"/>
      <c r="C151" s="182"/>
      <c r="D151" s="182"/>
      <c r="E151" s="177"/>
      <c r="F151" s="178"/>
      <c r="G151" s="179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6"/>
      <c r="W151" s="176"/>
      <c r="X151" s="176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</row>
    <row r="152" spans="1:37" ht="30" customHeight="1" x14ac:dyDescent="0.2">
      <c r="A152" s="182"/>
      <c r="B152" s="182"/>
      <c r="C152" s="182"/>
      <c r="D152" s="182"/>
      <c r="E152" s="177"/>
      <c r="F152" s="178"/>
      <c r="G152" s="179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6"/>
      <c r="V152" s="176"/>
      <c r="W152" s="176"/>
      <c r="X152" s="176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</row>
    <row r="153" spans="1:37" ht="30" customHeight="1" x14ac:dyDescent="0.2">
      <c r="A153" s="182"/>
      <c r="B153" s="182"/>
      <c r="C153" s="182"/>
      <c r="D153" s="182"/>
      <c r="E153" s="177"/>
      <c r="F153" s="178"/>
      <c r="G153" s="179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6"/>
      <c r="W153" s="176"/>
      <c r="X153" s="176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</row>
    <row r="154" spans="1:37" ht="30" customHeight="1" x14ac:dyDescent="0.2">
      <c r="A154" s="182"/>
      <c r="B154" s="182"/>
      <c r="C154" s="182"/>
      <c r="D154" s="182"/>
      <c r="E154" s="177"/>
      <c r="F154" s="178"/>
      <c r="G154" s="179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6"/>
      <c r="W154" s="176"/>
      <c r="X154" s="176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</row>
    <row r="155" spans="1:37" ht="30" customHeight="1" x14ac:dyDescent="0.2">
      <c r="A155" s="182"/>
      <c r="B155" s="182"/>
      <c r="C155" s="182"/>
      <c r="D155" s="182"/>
      <c r="E155" s="177"/>
      <c r="F155" s="178"/>
      <c r="G155" s="179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6"/>
      <c r="W155" s="176"/>
      <c r="X155" s="176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</row>
    <row r="156" spans="1:37" ht="30" customHeight="1" x14ac:dyDescent="0.2">
      <c r="A156" s="182"/>
      <c r="B156" s="182"/>
      <c r="C156" s="182"/>
      <c r="D156" s="182"/>
      <c r="E156" s="177"/>
      <c r="F156" s="178"/>
      <c r="G156" s="179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6"/>
      <c r="W156" s="176"/>
      <c r="X156" s="176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</row>
    <row r="157" spans="1:37" ht="30" customHeight="1" x14ac:dyDescent="0.2">
      <c r="A157" s="182"/>
      <c r="B157" s="182"/>
      <c r="C157" s="182"/>
      <c r="D157" s="182"/>
      <c r="E157" s="177"/>
      <c r="F157" s="178"/>
      <c r="G157" s="179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6"/>
      <c r="W157" s="176"/>
      <c r="X157" s="176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</row>
    <row r="158" spans="1:37" ht="30" customHeight="1" x14ac:dyDescent="0.2">
      <c r="A158" s="182"/>
      <c r="B158" s="182"/>
      <c r="C158" s="182"/>
      <c r="D158" s="182"/>
      <c r="E158" s="177"/>
      <c r="F158" s="178"/>
      <c r="G158" s="179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6"/>
      <c r="W158" s="176"/>
      <c r="X158" s="176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</row>
    <row r="159" spans="1:37" ht="30" customHeight="1" x14ac:dyDescent="0.2">
      <c r="A159" s="182"/>
      <c r="B159" s="182"/>
      <c r="C159" s="182"/>
      <c r="D159" s="182"/>
      <c r="E159" s="177"/>
      <c r="F159" s="178"/>
      <c r="G159" s="179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6"/>
      <c r="W159" s="176"/>
      <c r="X159" s="176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</row>
    <row r="160" spans="1:37" ht="30" customHeight="1" x14ac:dyDescent="0.2">
      <c r="A160" s="182"/>
      <c r="B160" s="182"/>
      <c r="C160" s="182"/>
      <c r="D160" s="182"/>
      <c r="E160" s="177"/>
      <c r="F160" s="178"/>
      <c r="G160" s="179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6"/>
      <c r="W160" s="176"/>
      <c r="X160" s="176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</row>
    <row r="161" spans="1:37" ht="30" customHeight="1" x14ac:dyDescent="0.2">
      <c r="A161" s="182"/>
      <c r="B161" s="182"/>
      <c r="C161" s="182"/>
      <c r="D161" s="182"/>
      <c r="E161" s="177"/>
      <c r="F161" s="178"/>
      <c r="G161" s="179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6"/>
      <c r="V161" s="176"/>
      <c r="W161" s="176"/>
      <c r="X161" s="176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</row>
    <row r="162" spans="1:37" ht="30" customHeight="1" x14ac:dyDescent="0.2">
      <c r="A162" s="182"/>
      <c r="B162" s="182"/>
      <c r="C162" s="182"/>
      <c r="D162" s="182"/>
      <c r="E162" s="177"/>
      <c r="F162" s="178"/>
      <c r="G162" s="179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6"/>
      <c r="W162" s="176"/>
      <c r="X162" s="176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</row>
    <row r="163" spans="1:37" ht="30" customHeight="1" x14ac:dyDescent="0.2">
      <c r="A163" s="182"/>
      <c r="B163" s="182"/>
      <c r="C163" s="182"/>
      <c r="D163" s="182"/>
      <c r="E163" s="177"/>
      <c r="F163" s="178"/>
      <c r="G163" s="179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</row>
    <row r="164" spans="1:37" ht="30" customHeight="1" x14ac:dyDescent="0.2">
      <c r="A164" s="182"/>
      <c r="B164" s="182"/>
      <c r="C164" s="182"/>
      <c r="D164" s="182"/>
      <c r="E164" s="177"/>
      <c r="F164" s="178"/>
      <c r="G164" s="179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6"/>
      <c r="V164" s="176"/>
      <c r="W164" s="176"/>
      <c r="X164" s="176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</row>
    <row r="165" spans="1:37" ht="30" customHeight="1" x14ac:dyDescent="0.2">
      <c r="A165" s="182"/>
      <c r="B165" s="182"/>
      <c r="C165" s="182"/>
      <c r="D165" s="182"/>
      <c r="E165" s="177"/>
      <c r="F165" s="178"/>
      <c r="G165" s="179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</row>
    <row r="166" spans="1:37" ht="30" customHeight="1" x14ac:dyDescent="0.2">
      <c r="A166" s="182"/>
      <c r="B166" s="182"/>
      <c r="C166" s="182"/>
      <c r="D166" s="182"/>
      <c r="E166" s="177"/>
      <c r="F166" s="178"/>
      <c r="G166" s="179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</row>
    <row r="167" spans="1:37" ht="30" customHeight="1" x14ac:dyDescent="0.2">
      <c r="A167" s="182"/>
      <c r="B167" s="182"/>
      <c r="C167" s="182"/>
      <c r="D167" s="182"/>
      <c r="E167" s="177"/>
      <c r="F167" s="178"/>
      <c r="G167" s="179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</row>
    <row r="168" spans="1:37" ht="30" customHeight="1" x14ac:dyDescent="0.2">
      <c r="A168" s="182"/>
      <c r="B168" s="182"/>
      <c r="C168" s="182"/>
      <c r="D168" s="182"/>
      <c r="E168" s="177"/>
      <c r="F168" s="178"/>
      <c r="G168" s="179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</row>
    <row r="169" spans="1:37" ht="30" customHeight="1" x14ac:dyDescent="0.2">
      <c r="A169" s="182"/>
      <c r="B169" s="182"/>
      <c r="C169" s="182"/>
      <c r="D169" s="182"/>
      <c r="E169" s="177"/>
      <c r="F169" s="178"/>
      <c r="G169" s="179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</row>
    <row r="170" spans="1:37" ht="30" customHeight="1" x14ac:dyDescent="0.2">
      <c r="A170" s="182"/>
      <c r="B170" s="182"/>
      <c r="C170" s="182"/>
      <c r="D170" s="182"/>
      <c r="E170" s="177"/>
      <c r="F170" s="178"/>
      <c r="G170" s="179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</row>
    <row r="171" spans="1:37" ht="30" customHeight="1" x14ac:dyDescent="0.2">
      <c r="A171" s="182"/>
      <c r="B171" s="182"/>
      <c r="C171" s="182"/>
      <c r="D171" s="182"/>
      <c r="E171" s="177"/>
      <c r="F171" s="178"/>
      <c r="G171" s="179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6"/>
      <c r="V171" s="176"/>
      <c r="W171" s="176"/>
      <c r="X171" s="176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</row>
    <row r="172" spans="1:37" ht="30" customHeight="1" x14ac:dyDescent="0.2">
      <c r="A172" s="182"/>
      <c r="B172" s="182"/>
      <c r="C172" s="182"/>
      <c r="D172" s="182"/>
      <c r="E172" s="177"/>
      <c r="F172" s="178"/>
      <c r="G172" s="179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</row>
    <row r="173" spans="1:37" ht="30" customHeight="1" x14ac:dyDescent="0.2">
      <c r="A173" s="182"/>
      <c r="B173" s="182"/>
      <c r="C173" s="182"/>
      <c r="D173" s="182"/>
      <c r="E173" s="177"/>
      <c r="F173" s="178"/>
      <c r="G173" s="179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</row>
    <row r="174" spans="1:37" ht="30" customHeight="1" x14ac:dyDescent="0.2">
      <c r="A174" s="182"/>
      <c r="B174" s="182"/>
      <c r="C174" s="182"/>
      <c r="D174" s="182"/>
      <c r="E174" s="177"/>
      <c r="F174" s="178"/>
      <c r="G174" s="179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6"/>
      <c r="V174" s="176"/>
      <c r="W174" s="176"/>
      <c r="X174" s="176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</row>
    <row r="175" spans="1:37" ht="30" customHeight="1" x14ac:dyDescent="0.2">
      <c r="A175" s="182"/>
      <c r="B175" s="182"/>
      <c r="C175" s="182"/>
      <c r="D175" s="182"/>
      <c r="E175" s="177"/>
      <c r="F175" s="178"/>
      <c r="G175" s="179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</row>
    <row r="176" spans="1:37" ht="30" customHeight="1" x14ac:dyDescent="0.2">
      <c r="A176" s="182"/>
      <c r="B176" s="182"/>
      <c r="C176" s="182"/>
      <c r="D176" s="182"/>
      <c r="E176" s="177"/>
      <c r="F176" s="178"/>
      <c r="G176" s="179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</row>
    <row r="177" spans="1:37" ht="30" customHeight="1" x14ac:dyDescent="0.2">
      <c r="A177" s="182"/>
      <c r="B177" s="182"/>
      <c r="C177" s="182"/>
      <c r="D177" s="182"/>
      <c r="E177" s="177"/>
      <c r="F177" s="178"/>
      <c r="G177" s="179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6"/>
      <c r="V177" s="176"/>
      <c r="W177" s="176"/>
      <c r="X177" s="176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</row>
    <row r="178" spans="1:37" ht="30" customHeight="1" x14ac:dyDescent="0.2">
      <c r="A178" s="182"/>
      <c r="B178" s="182"/>
      <c r="C178" s="182"/>
      <c r="D178" s="182"/>
      <c r="E178" s="177"/>
      <c r="F178" s="178"/>
      <c r="G178" s="179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6"/>
      <c r="V178" s="176"/>
      <c r="W178" s="176"/>
      <c r="X178" s="176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</row>
    <row r="179" spans="1:37" ht="30" customHeight="1" x14ac:dyDescent="0.2">
      <c r="A179" s="182"/>
      <c r="B179" s="182"/>
      <c r="C179" s="182"/>
      <c r="D179" s="182"/>
      <c r="E179" s="177"/>
      <c r="F179" s="178"/>
      <c r="G179" s="179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</row>
    <row r="180" spans="1:37" ht="30" customHeight="1" x14ac:dyDescent="0.2">
      <c r="A180" s="182"/>
      <c r="B180" s="182"/>
      <c r="C180" s="182"/>
      <c r="D180" s="182"/>
      <c r="E180" s="177"/>
      <c r="F180" s="178"/>
      <c r="G180" s="179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</row>
    <row r="181" spans="1:37" ht="30" customHeight="1" x14ac:dyDescent="0.2">
      <c r="A181" s="182"/>
      <c r="B181" s="182"/>
      <c r="C181" s="182"/>
      <c r="D181" s="182"/>
      <c r="E181" s="177"/>
      <c r="F181" s="178"/>
      <c r="G181" s="179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</row>
    <row r="182" spans="1:37" ht="30" customHeight="1" x14ac:dyDescent="0.2">
      <c r="A182" s="182"/>
      <c r="B182" s="182"/>
      <c r="C182" s="182"/>
      <c r="D182" s="182"/>
      <c r="E182" s="177"/>
      <c r="F182" s="178"/>
      <c r="G182" s="179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</row>
    <row r="183" spans="1:37" ht="30" customHeight="1" x14ac:dyDescent="0.2">
      <c r="A183" s="182"/>
      <c r="B183" s="182"/>
      <c r="C183" s="182"/>
      <c r="D183" s="182"/>
      <c r="E183" s="177"/>
      <c r="F183" s="178"/>
      <c r="G183" s="179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</row>
    <row r="184" spans="1:37" ht="30" customHeight="1" x14ac:dyDescent="0.2">
      <c r="A184" s="182"/>
      <c r="B184" s="182"/>
      <c r="C184" s="182"/>
      <c r="D184" s="182"/>
      <c r="E184" s="177"/>
      <c r="F184" s="178"/>
      <c r="G184" s="179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</row>
    <row r="185" spans="1:37" ht="30" customHeight="1" x14ac:dyDescent="0.2">
      <c r="A185" s="182"/>
      <c r="B185" s="182"/>
      <c r="C185" s="182"/>
      <c r="D185" s="182"/>
      <c r="E185" s="177"/>
      <c r="F185" s="178"/>
      <c r="G185" s="179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6"/>
      <c r="V185" s="176"/>
      <c r="W185" s="176"/>
      <c r="X185" s="176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</row>
    <row r="186" spans="1:37" ht="30" customHeight="1" x14ac:dyDescent="0.2">
      <c r="A186" s="182"/>
      <c r="B186" s="182"/>
      <c r="C186" s="182"/>
      <c r="D186" s="182"/>
      <c r="E186" s="177"/>
      <c r="F186" s="178"/>
      <c r="G186" s="179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</row>
    <row r="187" spans="1:37" ht="30" customHeight="1" x14ac:dyDescent="0.2">
      <c r="A187" s="182"/>
      <c r="B187" s="182"/>
      <c r="C187" s="182"/>
      <c r="D187" s="182"/>
      <c r="E187" s="177"/>
      <c r="F187" s="178"/>
      <c r="G187" s="179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</row>
    <row r="188" spans="1:37" ht="30" customHeight="1" x14ac:dyDescent="0.2">
      <c r="A188" s="182"/>
      <c r="B188" s="182"/>
      <c r="C188" s="182"/>
      <c r="D188" s="182"/>
      <c r="E188" s="177"/>
      <c r="F188" s="178"/>
      <c r="G188" s="179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</row>
    <row r="189" spans="1:37" ht="30" customHeight="1" x14ac:dyDescent="0.2">
      <c r="A189" s="182"/>
      <c r="B189" s="182"/>
      <c r="C189" s="182"/>
      <c r="D189" s="182"/>
      <c r="E189" s="177"/>
      <c r="F189" s="178"/>
      <c r="G189" s="179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</row>
    <row r="190" spans="1:37" ht="30" customHeight="1" x14ac:dyDescent="0.2">
      <c r="A190" s="182"/>
      <c r="B190" s="182"/>
      <c r="C190" s="182"/>
      <c r="D190" s="182"/>
      <c r="E190" s="177"/>
      <c r="F190" s="178"/>
      <c r="G190" s="179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</row>
    <row r="191" spans="1:37" ht="30" customHeight="1" x14ac:dyDescent="0.2">
      <c r="A191" s="182"/>
      <c r="B191" s="182"/>
      <c r="C191" s="182"/>
      <c r="D191" s="182"/>
      <c r="E191" s="177"/>
      <c r="F191" s="178"/>
      <c r="G191" s="179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</row>
    <row r="192" spans="1:37" ht="30" customHeight="1" x14ac:dyDescent="0.2">
      <c r="A192" s="182"/>
      <c r="B192" s="182"/>
      <c r="C192" s="182"/>
      <c r="D192" s="182"/>
      <c r="E192" s="177"/>
      <c r="F192" s="178"/>
      <c r="G192" s="179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</row>
    <row r="193" spans="1:37" ht="30" customHeight="1" x14ac:dyDescent="0.2">
      <c r="A193" s="182"/>
      <c r="B193" s="182"/>
      <c r="C193" s="182"/>
      <c r="D193" s="182"/>
      <c r="E193" s="177"/>
      <c r="F193" s="178"/>
      <c r="G193" s="179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</row>
    <row r="194" spans="1:37" ht="30" customHeight="1" x14ac:dyDescent="0.2">
      <c r="A194" s="182"/>
      <c r="B194" s="182"/>
      <c r="C194" s="182"/>
      <c r="D194" s="182"/>
      <c r="E194" s="177"/>
      <c r="F194" s="178"/>
      <c r="G194" s="179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</row>
    <row r="195" spans="1:37" ht="30" customHeight="1" x14ac:dyDescent="0.2">
      <c r="A195" s="182"/>
      <c r="B195" s="182"/>
      <c r="C195" s="182"/>
      <c r="D195" s="182"/>
      <c r="E195" s="177"/>
      <c r="F195" s="178"/>
      <c r="G195" s="179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</row>
    <row r="196" spans="1:37" ht="30" customHeight="1" x14ac:dyDescent="0.2">
      <c r="A196" s="182"/>
      <c r="B196" s="182"/>
      <c r="C196" s="182"/>
      <c r="D196" s="182"/>
      <c r="E196" s="177"/>
      <c r="F196" s="178"/>
      <c r="G196" s="179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</row>
    <row r="197" spans="1:37" ht="30" customHeight="1" x14ac:dyDescent="0.2">
      <c r="A197" s="182"/>
      <c r="B197" s="182"/>
      <c r="C197" s="182"/>
      <c r="D197" s="182"/>
      <c r="E197" s="177"/>
      <c r="F197" s="178"/>
      <c r="G197" s="179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</row>
    <row r="198" spans="1:37" ht="30" customHeight="1" x14ac:dyDescent="0.2">
      <c r="A198" s="182"/>
      <c r="B198" s="182"/>
      <c r="C198" s="182"/>
      <c r="D198" s="182"/>
      <c r="E198" s="177"/>
      <c r="F198" s="178"/>
      <c r="G198" s="179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</row>
    <row r="199" spans="1:37" ht="30" customHeight="1" x14ac:dyDescent="0.2">
      <c r="A199" s="182"/>
      <c r="B199" s="182"/>
      <c r="C199" s="182"/>
      <c r="D199" s="182"/>
      <c r="E199" s="177"/>
      <c r="F199" s="178"/>
      <c r="G199" s="179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</row>
    <row r="200" spans="1:37" ht="30" customHeight="1" x14ac:dyDescent="0.2">
      <c r="A200" s="182"/>
      <c r="B200" s="182"/>
      <c r="C200" s="182"/>
      <c r="D200" s="182"/>
      <c r="E200" s="177"/>
      <c r="F200" s="178"/>
      <c r="G200" s="179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</row>
    <row r="201" spans="1:37" ht="30" customHeight="1" x14ac:dyDescent="0.2">
      <c r="A201" s="182"/>
      <c r="B201" s="182"/>
      <c r="C201" s="182"/>
      <c r="D201" s="182"/>
      <c r="E201" s="177"/>
      <c r="F201" s="178"/>
      <c r="G201" s="179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</row>
    <row r="202" spans="1:37" ht="30" customHeight="1" x14ac:dyDescent="0.2">
      <c r="A202" s="182"/>
      <c r="B202" s="182"/>
      <c r="C202" s="182"/>
      <c r="D202" s="182"/>
      <c r="E202" s="177"/>
      <c r="F202" s="178"/>
      <c r="G202" s="179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</row>
    <row r="203" spans="1:37" ht="30" customHeight="1" x14ac:dyDescent="0.2">
      <c r="A203" s="182"/>
      <c r="B203" s="182"/>
      <c r="C203" s="182"/>
      <c r="D203" s="182"/>
      <c r="E203" s="177"/>
      <c r="F203" s="178"/>
      <c r="G203" s="179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</row>
    <row r="204" spans="1:37" ht="30" customHeight="1" x14ac:dyDescent="0.2">
      <c r="A204" s="182"/>
      <c r="B204" s="182"/>
      <c r="C204" s="182"/>
      <c r="D204" s="182"/>
      <c r="E204" s="177"/>
      <c r="F204" s="178"/>
      <c r="G204" s="179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</row>
    <row r="205" spans="1:37" ht="30" customHeight="1" x14ac:dyDescent="0.2">
      <c r="A205" s="182"/>
      <c r="B205" s="182"/>
      <c r="C205" s="182"/>
      <c r="D205" s="182"/>
      <c r="E205" s="177"/>
      <c r="F205" s="178"/>
      <c r="G205" s="179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</row>
    <row r="206" spans="1:37" ht="30" customHeight="1" x14ac:dyDescent="0.2">
      <c r="A206" s="182"/>
      <c r="B206" s="182"/>
      <c r="C206" s="182"/>
      <c r="D206" s="182"/>
      <c r="E206" s="177"/>
      <c r="F206" s="178"/>
      <c r="G206" s="179"/>
      <c r="H206" s="176"/>
      <c r="I206" s="176"/>
      <c r="J206" s="176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/>
      <c r="V206" s="176"/>
      <c r="W206" s="176"/>
      <c r="X206" s="176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</row>
    <row r="207" spans="1:37" ht="30" customHeight="1" x14ac:dyDescent="0.2">
      <c r="A207" s="182"/>
      <c r="B207" s="182"/>
      <c r="C207" s="182"/>
      <c r="D207" s="182"/>
      <c r="E207" s="177"/>
      <c r="F207" s="178"/>
      <c r="G207" s="179"/>
      <c r="H207" s="176"/>
      <c r="I207" s="176"/>
      <c r="J207" s="176"/>
      <c r="K207" s="176"/>
      <c r="L207" s="176"/>
      <c r="M207" s="176"/>
      <c r="N207" s="176"/>
      <c r="O207" s="176"/>
      <c r="P207" s="176"/>
      <c r="Q207" s="176"/>
      <c r="R207" s="176"/>
      <c r="S207" s="176"/>
      <c r="T207" s="176"/>
      <c r="U207" s="176"/>
      <c r="V207" s="176"/>
      <c r="W207" s="176"/>
      <c r="X207" s="176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</row>
    <row r="208" spans="1:37" ht="30" customHeight="1" x14ac:dyDescent="0.2">
      <c r="A208" s="182"/>
      <c r="B208" s="182"/>
      <c r="C208" s="182"/>
      <c r="D208" s="182"/>
      <c r="E208" s="177"/>
      <c r="F208" s="178"/>
      <c r="G208" s="179"/>
      <c r="H208" s="176"/>
      <c r="I208" s="176"/>
      <c r="J208" s="176"/>
      <c r="K208" s="176"/>
      <c r="L208" s="176"/>
      <c r="M208" s="176"/>
      <c r="N208" s="176"/>
      <c r="O208" s="176"/>
      <c r="P208" s="176"/>
      <c r="Q208" s="176"/>
      <c r="R208" s="176"/>
      <c r="S208" s="176"/>
      <c r="T208" s="176"/>
      <c r="U208" s="176"/>
      <c r="V208" s="176"/>
      <c r="W208" s="176"/>
      <c r="X208" s="176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</row>
    <row r="209" spans="1:37" ht="30" customHeight="1" x14ac:dyDescent="0.2">
      <c r="A209" s="182"/>
      <c r="B209" s="182"/>
      <c r="C209" s="182"/>
      <c r="D209" s="182"/>
      <c r="E209" s="177"/>
      <c r="F209" s="178"/>
      <c r="G209" s="179"/>
      <c r="H209" s="176"/>
      <c r="I209" s="176"/>
      <c r="J209" s="176"/>
      <c r="K209" s="176"/>
      <c r="L209" s="176"/>
      <c r="M209" s="176"/>
      <c r="N209" s="176"/>
      <c r="O209" s="176"/>
      <c r="P209" s="176"/>
      <c r="Q209" s="176"/>
      <c r="R209" s="176"/>
      <c r="S209" s="176"/>
      <c r="T209" s="176"/>
      <c r="U209" s="176"/>
      <c r="V209" s="176"/>
      <c r="W209" s="176"/>
      <c r="X209" s="176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</row>
    <row r="210" spans="1:37" ht="30" customHeight="1" x14ac:dyDescent="0.2">
      <c r="A210" s="182"/>
      <c r="B210" s="182"/>
      <c r="C210" s="182"/>
      <c r="D210" s="182"/>
      <c r="E210" s="177"/>
      <c r="F210" s="178"/>
      <c r="G210" s="179"/>
      <c r="H210" s="176"/>
      <c r="I210" s="176"/>
      <c r="J210" s="176"/>
      <c r="K210" s="176"/>
      <c r="L210" s="176"/>
      <c r="M210" s="176"/>
      <c r="N210" s="176"/>
      <c r="O210" s="176"/>
      <c r="P210" s="176"/>
      <c r="Q210" s="176"/>
      <c r="R210" s="176"/>
      <c r="S210" s="176"/>
      <c r="T210" s="176"/>
      <c r="U210" s="176"/>
      <c r="V210" s="176"/>
      <c r="W210" s="176"/>
      <c r="X210" s="176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</row>
    <row r="211" spans="1:37" ht="30" customHeight="1" x14ac:dyDescent="0.2">
      <c r="A211" s="182"/>
      <c r="B211" s="182"/>
      <c r="C211" s="182"/>
      <c r="D211" s="182"/>
      <c r="E211" s="177"/>
      <c r="F211" s="178"/>
      <c r="G211" s="179"/>
      <c r="H211" s="176"/>
      <c r="I211" s="176"/>
      <c r="J211" s="176"/>
      <c r="K211" s="176"/>
      <c r="L211" s="176"/>
      <c r="M211" s="176"/>
      <c r="N211" s="176"/>
      <c r="O211" s="176"/>
      <c r="P211" s="176"/>
      <c r="Q211" s="176"/>
      <c r="R211" s="176"/>
      <c r="S211" s="176"/>
      <c r="T211" s="176"/>
      <c r="U211" s="176"/>
      <c r="V211" s="176"/>
      <c r="W211" s="176"/>
      <c r="X211" s="176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</row>
    <row r="212" spans="1:37" ht="30" customHeight="1" x14ac:dyDescent="0.2">
      <c r="A212" s="182"/>
      <c r="B212" s="182"/>
      <c r="C212" s="182"/>
      <c r="D212" s="182"/>
      <c r="E212" s="177"/>
      <c r="F212" s="178"/>
      <c r="G212" s="179"/>
      <c r="H212" s="176"/>
      <c r="I212" s="176"/>
      <c r="J212" s="176"/>
      <c r="K212" s="176"/>
      <c r="L212" s="176"/>
      <c r="M212" s="176"/>
      <c r="N212" s="176"/>
      <c r="O212" s="176"/>
      <c r="P212" s="176"/>
      <c r="Q212" s="176"/>
      <c r="R212" s="176"/>
      <c r="S212" s="176"/>
      <c r="T212" s="176"/>
      <c r="U212" s="176"/>
      <c r="V212" s="176"/>
      <c r="W212" s="176"/>
      <c r="X212" s="176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</row>
    <row r="213" spans="1:37" ht="30" customHeight="1" x14ac:dyDescent="0.2">
      <c r="A213" s="182"/>
      <c r="B213" s="182"/>
      <c r="C213" s="182"/>
      <c r="D213" s="182"/>
      <c r="E213" s="177"/>
      <c r="F213" s="178"/>
      <c r="G213" s="179"/>
      <c r="H213" s="176"/>
      <c r="I213" s="176"/>
      <c r="J213" s="176"/>
      <c r="K213" s="176"/>
      <c r="L213" s="176"/>
      <c r="M213" s="176"/>
      <c r="N213" s="176"/>
      <c r="O213" s="176"/>
      <c r="P213" s="176"/>
      <c r="Q213" s="176"/>
      <c r="R213" s="176"/>
      <c r="S213" s="176"/>
      <c r="T213" s="176"/>
      <c r="U213" s="176"/>
      <c r="V213" s="176"/>
      <c r="W213" s="176"/>
      <c r="X213" s="176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</row>
    <row r="214" spans="1:37" ht="30" customHeight="1" x14ac:dyDescent="0.2">
      <c r="A214" s="182"/>
      <c r="B214" s="182"/>
      <c r="C214" s="182"/>
      <c r="D214" s="182"/>
      <c r="E214" s="177"/>
      <c r="F214" s="178"/>
      <c r="G214" s="179"/>
      <c r="H214" s="176"/>
      <c r="I214" s="176"/>
      <c r="J214" s="176"/>
      <c r="K214" s="176"/>
      <c r="L214" s="176"/>
      <c r="M214" s="176"/>
      <c r="N214" s="176"/>
      <c r="O214" s="176"/>
      <c r="P214" s="176"/>
      <c r="Q214" s="176"/>
      <c r="R214" s="176"/>
      <c r="S214" s="176"/>
      <c r="T214" s="176"/>
      <c r="U214" s="176"/>
      <c r="V214" s="176"/>
      <c r="W214" s="176"/>
      <c r="X214" s="176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</row>
    <row r="215" spans="1:37" ht="30" customHeight="1" x14ac:dyDescent="0.2">
      <c r="A215" s="182"/>
      <c r="B215" s="182"/>
      <c r="C215" s="182"/>
      <c r="D215" s="182"/>
      <c r="E215" s="177"/>
      <c r="F215" s="178"/>
      <c r="G215" s="179"/>
      <c r="H215" s="176"/>
      <c r="I215" s="176"/>
      <c r="J215" s="176"/>
      <c r="K215" s="176"/>
      <c r="L215" s="176"/>
      <c r="M215" s="176"/>
      <c r="N215" s="176"/>
      <c r="O215" s="176"/>
      <c r="P215" s="176"/>
      <c r="Q215" s="176"/>
      <c r="R215" s="176"/>
      <c r="S215" s="176"/>
      <c r="T215" s="176"/>
      <c r="U215" s="176"/>
      <c r="V215" s="176"/>
      <c r="W215" s="176"/>
      <c r="X215" s="176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</row>
    <row r="216" spans="1:37" ht="30" customHeight="1" x14ac:dyDescent="0.2">
      <c r="A216" s="182"/>
      <c r="B216" s="182"/>
      <c r="C216" s="182"/>
      <c r="D216" s="182"/>
      <c r="E216" s="177"/>
      <c r="F216" s="178"/>
      <c r="G216" s="179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</row>
    <row r="217" spans="1:37" ht="30" customHeight="1" x14ac:dyDescent="0.2">
      <c r="A217" s="182"/>
      <c r="B217" s="182"/>
      <c r="C217" s="182"/>
      <c r="D217" s="182"/>
      <c r="E217" s="177"/>
      <c r="F217" s="178"/>
      <c r="G217" s="179"/>
      <c r="H217" s="176"/>
      <c r="I217" s="176"/>
      <c r="J217" s="176"/>
      <c r="K217" s="176"/>
      <c r="L217" s="176"/>
      <c r="M217" s="176"/>
      <c r="N217" s="176"/>
      <c r="O217" s="176"/>
      <c r="P217" s="176"/>
      <c r="Q217" s="176"/>
      <c r="R217" s="176"/>
      <c r="S217" s="176"/>
      <c r="T217" s="176"/>
      <c r="U217" s="176"/>
      <c r="V217" s="176"/>
      <c r="W217" s="176"/>
      <c r="X217" s="176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</row>
    <row r="218" spans="1:37" ht="30" customHeight="1" x14ac:dyDescent="0.2">
      <c r="A218" s="182"/>
      <c r="B218" s="182"/>
      <c r="C218" s="182"/>
      <c r="D218" s="182"/>
      <c r="E218" s="177"/>
      <c r="F218" s="178"/>
      <c r="G218" s="179"/>
      <c r="H218" s="176"/>
      <c r="I218" s="176"/>
      <c r="J218" s="176"/>
      <c r="K218" s="176"/>
      <c r="L218" s="176"/>
      <c r="M218" s="176"/>
      <c r="N218" s="176"/>
      <c r="O218" s="176"/>
      <c r="P218" s="176"/>
      <c r="Q218" s="176"/>
      <c r="R218" s="176"/>
      <c r="S218" s="176"/>
      <c r="T218" s="176"/>
      <c r="U218" s="176"/>
      <c r="V218" s="176"/>
      <c r="W218" s="176"/>
      <c r="X218" s="176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</row>
    <row r="219" spans="1:37" ht="30" customHeight="1" x14ac:dyDescent="0.2">
      <c r="A219" s="182"/>
      <c r="B219" s="182"/>
      <c r="C219" s="182"/>
      <c r="D219" s="182"/>
      <c r="E219" s="177"/>
      <c r="F219" s="178"/>
      <c r="G219" s="179"/>
      <c r="H219" s="176"/>
      <c r="I219" s="176"/>
      <c r="J219" s="176"/>
      <c r="K219" s="176"/>
      <c r="L219" s="176"/>
      <c r="M219" s="176"/>
      <c r="N219" s="176"/>
      <c r="O219" s="176"/>
      <c r="P219" s="176"/>
      <c r="Q219" s="176"/>
      <c r="R219" s="176"/>
      <c r="S219" s="176"/>
      <c r="T219" s="176"/>
      <c r="U219" s="176"/>
      <c r="V219" s="176"/>
      <c r="W219" s="176"/>
      <c r="X219" s="176"/>
      <c r="Y219" s="62"/>
      <c r="Z219" s="62"/>
      <c r="AA219" s="62"/>
      <c r="AB219" s="62"/>
      <c r="AC219" s="62"/>
      <c r="AD219" s="62"/>
      <c r="AE219" s="62"/>
      <c r="AF219" s="62"/>
      <c r="AG219" s="62"/>
      <c r="AH219" s="62"/>
      <c r="AI219" s="62"/>
      <c r="AJ219" s="62"/>
      <c r="AK219" s="62"/>
    </row>
    <row r="220" spans="1:37" ht="30" customHeight="1" x14ac:dyDescent="0.2">
      <c r="A220" s="182"/>
      <c r="B220" s="182"/>
      <c r="C220" s="182"/>
      <c r="D220" s="182"/>
      <c r="E220" s="177"/>
      <c r="F220" s="178"/>
      <c r="G220" s="179"/>
      <c r="H220" s="176"/>
      <c r="I220" s="176"/>
      <c r="J220" s="176"/>
      <c r="K220" s="176"/>
      <c r="L220" s="176"/>
      <c r="M220" s="176"/>
      <c r="N220" s="176"/>
      <c r="O220" s="176"/>
      <c r="P220" s="176"/>
      <c r="Q220" s="176"/>
      <c r="R220" s="176"/>
      <c r="S220" s="176"/>
      <c r="T220" s="176"/>
      <c r="U220" s="176"/>
      <c r="V220" s="176"/>
      <c r="W220" s="176"/>
      <c r="X220" s="176"/>
      <c r="Y220" s="62"/>
      <c r="Z220" s="62"/>
      <c r="AA220" s="62"/>
      <c r="AB220" s="62"/>
      <c r="AC220" s="62"/>
      <c r="AD220" s="62"/>
      <c r="AE220" s="62"/>
      <c r="AF220" s="62"/>
      <c r="AG220" s="62"/>
      <c r="AH220" s="62"/>
      <c r="AI220" s="62"/>
      <c r="AJ220" s="62"/>
      <c r="AK220" s="62"/>
    </row>
    <row r="221" spans="1:37" ht="30" customHeight="1" x14ac:dyDescent="0.2">
      <c r="A221" s="182"/>
      <c r="B221" s="182"/>
      <c r="C221" s="182"/>
      <c r="D221" s="182"/>
      <c r="E221" s="177"/>
      <c r="F221" s="178"/>
      <c r="G221" s="179"/>
      <c r="H221" s="176"/>
      <c r="I221" s="176"/>
      <c r="J221" s="176"/>
      <c r="K221" s="176"/>
      <c r="L221" s="176"/>
      <c r="M221" s="176"/>
      <c r="N221" s="176"/>
      <c r="O221" s="176"/>
      <c r="P221" s="176"/>
      <c r="Q221" s="176"/>
      <c r="R221" s="176"/>
      <c r="S221" s="176"/>
      <c r="T221" s="176"/>
      <c r="U221" s="176"/>
      <c r="V221" s="176"/>
      <c r="W221" s="176"/>
      <c r="X221" s="176"/>
      <c r="Y221" s="62"/>
      <c r="Z221" s="62"/>
      <c r="AA221" s="62"/>
      <c r="AB221" s="62"/>
      <c r="AC221" s="62"/>
      <c r="AD221" s="62"/>
      <c r="AE221" s="62"/>
      <c r="AF221" s="62"/>
      <c r="AG221" s="62"/>
      <c r="AH221" s="62"/>
      <c r="AI221" s="62"/>
      <c r="AJ221" s="62"/>
      <c r="AK221" s="62"/>
    </row>
    <row r="222" spans="1:37" ht="30" customHeight="1" x14ac:dyDescent="0.2">
      <c r="A222" s="182"/>
      <c r="B222" s="182"/>
      <c r="C222" s="182"/>
      <c r="D222" s="182"/>
      <c r="E222" s="177"/>
      <c r="F222" s="178"/>
      <c r="G222" s="179"/>
      <c r="H222" s="176"/>
      <c r="I222" s="176"/>
      <c r="J222" s="176"/>
      <c r="K222" s="176"/>
      <c r="L222" s="176"/>
      <c r="M222" s="176"/>
      <c r="N222" s="176"/>
      <c r="O222" s="176"/>
      <c r="P222" s="176"/>
      <c r="Q222" s="176"/>
      <c r="R222" s="176"/>
      <c r="S222" s="176"/>
      <c r="T222" s="176"/>
      <c r="U222" s="176"/>
      <c r="V222" s="176"/>
      <c r="W222" s="176"/>
      <c r="X222" s="176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</row>
    <row r="223" spans="1:37" ht="30" customHeight="1" x14ac:dyDescent="0.2">
      <c r="A223" s="182"/>
      <c r="B223" s="182"/>
      <c r="C223" s="182"/>
      <c r="D223" s="182"/>
      <c r="E223" s="177"/>
      <c r="F223" s="178"/>
      <c r="G223" s="179"/>
      <c r="H223" s="176"/>
      <c r="I223" s="176"/>
      <c r="J223" s="176"/>
      <c r="K223" s="176"/>
      <c r="L223" s="176"/>
      <c r="M223" s="176"/>
      <c r="N223" s="176"/>
      <c r="O223" s="176"/>
      <c r="P223" s="176"/>
      <c r="Q223" s="176"/>
      <c r="R223" s="176"/>
      <c r="S223" s="176"/>
      <c r="T223" s="176"/>
      <c r="U223" s="176"/>
      <c r="V223" s="176"/>
      <c r="W223" s="176"/>
      <c r="X223" s="176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</row>
    <row r="224" spans="1:37" ht="30" customHeight="1" x14ac:dyDescent="0.2">
      <c r="A224" s="182"/>
      <c r="B224" s="182"/>
      <c r="C224" s="182"/>
      <c r="D224" s="182"/>
      <c r="E224" s="177"/>
      <c r="F224" s="178"/>
      <c r="G224" s="179"/>
      <c r="H224" s="176"/>
      <c r="I224" s="176"/>
      <c r="J224" s="176"/>
      <c r="K224" s="176"/>
      <c r="L224" s="176"/>
      <c r="M224" s="176"/>
      <c r="N224" s="176"/>
      <c r="O224" s="176"/>
      <c r="P224" s="176"/>
      <c r="Q224" s="176"/>
      <c r="R224" s="176"/>
      <c r="S224" s="176"/>
      <c r="T224" s="176"/>
      <c r="U224" s="176"/>
      <c r="V224" s="176"/>
      <c r="W224" s="176"/>
      <c r="X224" s="176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</row>
    <row r="225" spans="1:37" ht="30" customHeight="1" x14ac:dyDescent="0.2">
      <c r="A225" s="182"/>
      <c r="B225" s="182"/>
      <c r="C225" s="182"/>
      <c r="D225" s="182"/>
      <c r="E225" s="177"/>
      <c r="F225" s="178"/>
      <c r="G225" s="179"/>
      <c r="H225" s="176"/>
      <c r="I225" s="176"/>
      <c r="J225" s="176"/>
      <c r="K225" s="176"/>
      <c r="L225" s="176"/>
      <c r="M225" s="176"/>
      <c r="N225" s="176"/>
      <c r="O225" s="176"/>
      <c r="P225" s="176"/>
      <c r="Q225" s="176"/>
      <c r="R225" s="176"/>
      <c r="S225" s="176"/>
      <c r="T225" s="176"/>
      <c r="U225" s="176"/>
      <c r="V225" s="176"/>
      <c r="W225" s="176"/>
      <c r="X225" s="176"/>
      <c r="Y225" s="62"/>
      <c r="Z225" s="62"/>
      <c r="AA225" s="62"/>
      <c r="AB225" s="62"/>
      <c r="AC225" s="62"/>
      <c r="AD225" s="62"/>
      <c r="AE225" s="62"/>
      <c r="AF225" s="62"/>
      <c r="AG225" s="62"/>
      <c r="AH225" s="62"/>
      <c r="AI225" s="62"/>
      <c r="AJ225" s="62"/>
      <c r="AK225" s="62"/>
    </row>
    <row r="226" spans="1:37" ht="30" customHeight="1" x14ac:dyDescent="0.2">
      <c r="A226" s="182"/>
      <c r="B226" s="182"/>
      <c r="C226" s="182"/>
      <c r="D226" s="182"/>
      <c r="E226" s="177"/>
      <c r="F226" s="178"/>
      <c r="G226" s="179"/>
      <c r="H226" s="176"/>
      <c r="I226" s="176"/>
      <c r="J226" s="176"/>
      <c r="K226" s="176"/>
      <c r="L226" s="176"/>
      <c r="M226" s="176"/>
      <c r="N226" s="176"/>
      <c r="O226" s="176"/>
      <c r="P226" s="176"/>
      <c r="Q226" s="176"/>
      <c r="R226" s="176"/>
      <c r="S226" s="176"/>
      <c r="T226" s="176"/>
      <c r="U226" s="176"/>
      <c r="V226" s="176"/>
      <c r="W226" s="176"/>
      <c r="X226" s="176"/>
      <c r="Y226" s="62"/>
      <c r="Z226" s="62"/>
      <c r="AA226" s="62"/>
      <c r="AB226" s="62"/>
      <c r="AC226" s="62"/>
      <c r="AD226" s="62"/>
      <c r="AE226" s="62"/>
      <c r="AF226" s="62"/>
      <c r="AG226" s="62"/>
      <c r="AH226" s="62"/>
      <c r="AI226" s="62"/>
      <c r="AJ226" s="62"/>
      <c r="AK226" s="62"/>
    </row>
    <row r="227" spans="1:37" ht="30" customHeight="1" x14ac:dyDescent="0.2">
      <c r="A227" s="182"/>
      <c r="B227" s="182"/>
      <c r="C227" s="182"/>
      <c r="D227" s="182"/>
      <c r="E227" s="177"/>
      <c r="F227" s="178"/>
      <c r="G227" s="179"/>
      <c r="H227" s="176"/>
      <c r="I227" s="176"/>
      <c r="J227" s="176"/>
      <c r="K227" s="176"/>
      <c r="L227" s="176"/>
      <c r="M227" s="176"/>
      <c r="N227" s="176"/>
      <c r="O227" s="176"/>
      <c r="P227" s="176"/>
      <c r="Q227" s="176"/>
      <c r="R227" s="176"/>
      <c r="S227" s="176"/>
      <c r="T227" s="176"/>
      <c r="U227" s="176"/>
      <c r="V227" s="176"/>
      <c r="W227" s="176"/>
      <c r="X227" s="176"/>
      <c r="Y227" s="62"/>
      <c r="Z227" s="62"/>
      <c r="AA227" s="62"/>
      <c r="AB227" s="62"/>
      <c r="AC227" s="62"/>
      <c r="AD227" s="62"/>
      <c r="AE227" s="62"/>
      <c r="AF227" s="62"/>
      <c r="AG227" s="62"/>
      <c r="AH227" s="62"/>
      <c r="AI227" s="62"/>
      <c r="AJ227" s="62"/>
      <c r="AK227" s="62"/>
    </row>
    <row r="228" spans="1:37" ht="30" customHeight="1" x14ac:dyDescent="0.2">
      <c r="A228" s="182"/>
      <c r="B228" s="182"/>
      <c r="C228" s="182"/>
      <c r="D228" s="182"/>
      <c r="E228" s="177"/>
      <c r="F228" s="178"/>
      <c r="G228" s="179"/>
      <c r="H228" s="176"/>
      <c r="I228" s="176"/>
      <c r="J228" s="176"/>
      <c r="K228" s="176"/>
      <c r="L228" s="176"/>
      <c r="M228" s="176"/>
      <c r="N228" s="176"/>
      <c r="O228" s="176"/>
      <c r="P228" s="176"/>
      <c r="Q228" s="176"/>
      <c r="R228" s="176"/>
      <c r="S228" s="176"/>
      <c r="T228" s="176"/>
      <c r="U228" s="176"/>
      <c r="V228" s="176"/>
      <c r="W228" s="176"/>
      <c r="X228" s="176"/>
      <c r="Y228" s="62"/>
      <c r="Z228" s="62"/>
      <c r="AA228" s="62"/>
      <c r="AB228" s="62"/>
      <c r="AC228" s="62"/>
      <c r="AD228" s="62"/>
      <c r="AE228" s="62"/>
      <c r="AF228" s="62"/>
      <c r="AG228" s="62"/>
      <c r="AH228" s="62"/>
      <c r="AI228" s="62"/>
      <c r="AJ228" s="62"/>
      <c r="AK228" s="62"/>
    </row>
    <row r="229" spans="1:37" ht="30" customHeight="1" x14ac:dyDescent="0.2">
      <c r="A229" s="182"/>
      <c r="B229" s="182"/>
      <c r="C229" s="182"/>
      <c r="D229" s="182"/>
      <c r="E229" s="177"/>
      <c r="F229" s="178"/>
      <c r="G229" s="179"/>
      <c r="H229" s="176"/>
      <c r="I229" s="176"/>
      <c r="J229" s="176"/>
      <c r="K229" s="176"/>
      <c r="L229" s="176"/>
      <c r="M229" s="176"/>
      <c r="N229" s="176"/>
      <c r="O229" s="176"/>
      <c r="P229" s="176"/>
      <c r="Q229" s="176"/>
      <c r="R229" s="176"/>
      <c r="S229" s="176"/>
      <c r="T229" s="176"/>
      <c r="U229" s="176"/>
      <c r="V229" s="176"/>
      <c r="W229" s="176"/>
      <c r="X229" s="176"/>
      <c r="Y229" s="62"/>
      <c r="Z229" s="62"/>
      <c r="AA229" s="62"/>
      <c r="AB229" s="62"/>
      <c r="AC229" s="62"/>
      <c r="AD229" s="62"/>
      <c r="AE229" s="62"/>
      <c r="AF229" s="62"/>
      <c r="AG229" s="62"/>
      <c r="AH229" s="62"/>
      <c r="AI229" s="62"/>
      <c r="AJ229" s="62"/>
      <c r="AK229" s="62"/>
    </row>
    <row r="230" spans="1:37" ht="30" customHeight="1" x14ac:dyDescent="0.2">
      <c r="A230" s="182"/>
      <c r="B230" s="182"/>
      <c r="C230" s="182"/>
      <c r="D230" s="182"/>
      <c r="E230" s="177"/>
      <c r="F230" s="178"/>
      <c r="G230" s="179"/>
      <c r="H230" s="176"/>
      <c r="I230" s="176"/>
      <c r="J230" s="176"/>
      <c r="K230" s="176"/>
      <c r="L230" s="176"/>
      <c r="M230" s="176"/>
      <c r="N230" s="176"/>
      <c r="O230" s="176"/>
      <c r="P230" s="176"/>
      <c r="Q230" s="176"/>
      <c r="R230" s="176"/>
      <c r="S230" s="176"/>
      <c r="T230" s="176"/>
      <c r="U230" s="176"/>
      <c r="V230" s="176"/>
      <c r="W230" s="176"/>
      <c r="X230" s="176"/>
      <c r="Y230" s="62"/>
      <c r="Z230" s="62"/>
      <c r="AA230" s="62"/>
      <c r="AB230" s="62"/>
      <c r="AC230" s="62"/>
      <c r="AD230" s="62"/>
      <c r="AE230" s="62"/>
      <c r="AF230" s="62"/>
      <c r="AG230" s="62"/>
      <c r="AH230" s="62"/>
      <c r="AI230" s="62"/>
      <c r="AJ230" s="62"/>
      <c r="AK230" s="62"/>
    </row>
    <row r="231" spans="1:37" ht="30" customHeight="1" x14ac:dyDescent="0.2">
      <c r="A231" s="182"/>
      <c r="B231" s="182"/>
      <c r="C231" s="182"/>
      <c r="D231" s="182"/>
      <c r="E231" s="177"/>
      <c r="F231" s="178"/>
      <c r="G231" s="179"/>
      <c r="H231" s="176"/>
      <c r="I231" s="176"/>
      <c r="J231" s="176"/>
      <c r="K231" s="176"/>
      <c r="L231" s="176"/>
      <c r="M231" s="176"/>
      <c r="N231" s="176"/>
      <c r="O231" s="176"/>
      <c r="P231" s="176"/>
      <c r="Q231" s="176"/>
      <c r="R231" s="176"/>
      <c r="S231" s="176"/>
      <c r="T231" s="176"/>
      <c r="U231" s="176"/>
      <c r="V231" s="176"/>
      <c r="W231" s="176"/>
      <c r="X231" s="176"/>
      <c r="Y231" s="62"/>
      <c r="Z231" s="62"/>
      <c r="AA231" s="62"/>
      <c r="AB231" s="62"/>
      <c r="AC231" s="62"/>
      <c r="AD231" s="62"/>
      <c r="AE231" s="62"/>
      <c r="AF231" s="62"/>
      <c r="AG231" s="62"/>
      <c r="AH231" s="62"/>
      <c r="AI231" s="62"/>
      <c r="AJ231" s="62"/>
      <c r="AK231" s="62"/>
    </row>
    <row r="232" spans="1:37" ht="30" customHeight="1" x14ac:dyDescent="0.2">
      <c r="A232" s="182"/>
      <c r="B232" s="182"/>
      <c r="C232" s="182"/>
      <c r="D232" s="182"/>
      <c r="E232" s="177"/>
      <c r="F232" s="178"/>
      <c r="G232" s="179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62"/>
      <c r="Z232" s="62"/>
      <c r="AA232" s="62"/>
      <c r="AB232" s="62"/>
      <c r="AC232" s="62"/>
      <c r="AD232" s="62"/>
      <c r="AE232" s="62"/>
      <c r="AF232" s="62"/>
      <c r="AG232" s="62"/>
      <c r="AH232" s="62"/>
      <c r="AI232" s="62"/>
      <c r="AJ232" s="62"/>
      <c r="AK232" s="62"/>
    </row>
    <row r="233" spans="1:37" ht="30" customHeight="1" x14ac:dyDescent="0.2">
      <c r="A233" s="182"/>
      <c r="B233" s="182"/>
      <c r="C233" s="182"/>
      <c r="D233" s="182"/>
      <c r="E233" s="177"/>
      <c r="F233" s="178"/>
      <c r="G233" s="179"/>
      <c r="H233" s="176"/>
      <c r="I233" s="176"/>
      <c r="J233" s="176"/>
      <c r="K233" s="176"/>
      <c r="L233" s="176"/>
      <c r="M233" s="176"/>
      <c r="N233" s="176"/>
      <c r="O233" s="176"/>
      <c r="P233" s="176"/>
      <c r="Q233" s="176"/>
      <c r="R233" s="176"/>
      <c r="S233" s="176"/>
      <c r="T233" s="176"/>
      <c r="U233" s="176"/>
      <c r="V233" s="176"/>
      <c r="W233" s="176"/>
      <c r="X233" s="176"/>
      <c r="Y233" s="62"/>
      <c r="Z233" s="62"/>
      <c r="AA233" s="62"/>
      <c r="AB233" s="62"/>
      <c r="AC233" s="62"/>
      <c r="AD233" s="62"/>
      <c r="AE233" s="62"/>
      <c r="AF233" s="62"/>
      <c r="AG233" s="62"/>
      <c r="AH233" s="62"/>
      <c r="AI233" s="62"/>
      <c r="AJ233" s="62"/>
      <c r="AK233" s="62"/>
    </row>
    <row r="234" spans="1:37" ht="30" customHeight="1" x14ac:dyDescent="0.2">
      <c r="A234" s="182"/>
      <c r="B234" s="182"/>
      <c r="C234" s="182"/>
      <c r="D234" s="182"/>
      <c r="E234" s="177"/>
      <c r="F234" s="178"/>
      <c r="G234" s="179"/>
      <c r="H234" s="176"/>
      <c r="I234" s="176"/>
      <c r="J234" s="176"/>
      <c r="K234" s="176"/>
      <c r="L234" s="176"/>
      <c r="M234" s="176"/>
      <c r="N234" s="176"/>
      <c r="O234" s="176"/>
      <c r="P234" s="176"/>
      <c r="Q234" s="176"/>
      <c r="R234" s="176"/>
      <c r="S234" s="176"/>
      <c r="T234" s="176"/>
      <c r="U234" s="176"/>
      <c r="V234" s="176"/>
      <c r="W234" s="176"/>
      <c r="X234" s="176"/>
      <c r="Y234" s="62"/>
      <c r="Z234" s="62"/>
      <c r="AA234" s="62"/>
      <c r="AB234" s="62"/>
      <c r="AC234" s="62"/>
      <c r="AD234" s="62"/>
      <c r="AE234" s="62"/>
      <c r="AF234" s="62"/>
      <c r="AG234" s="62"/>
      <c r="AH234" s="62"/>
      <c r="AI234" s="62"/>
      <c r="AJ234" s="62"/>
      <c r="AK234" s="62"/>
    </row>
    <row r="235" spans="1:37" ht="30" customHeight="1" x14ac:dyDescent="0.2">
      <c r="A235" s="182"/>
      <c r="B235" s="182"/>
      <c r="C235" s="182"/>
      <c r="D235" s="182"/>
      <c r="E235" s="177"/>
      <c r="F235" s="178"/>
      <c r="G235" s="179"/>
      <c r="H235" s="176"/>
      <c r="I235" s="176"/>
      <c r="J235" s="176"/>
      <c r="K235" s="176"/>
      <c r="L235" s="176"/>
      <c r="M235" s="176"/>
      <c r="N235" s="176"/>
      <c r="O235" s="176"/>
      <c r="P235" s="176"/>
      <c r="Q235" s="176"/>
      <c r="R235" s="176"/>
      <c r="S235" s="176"/>
      <c r="T235" s="176"/>
      <c r="U235" s="176"/>
      <c r="V235" s="176"/>
      <c r="W235" s="176"/>
      <c r="X235" s="176"/>
      <c r="Y235" s="62"/>
      <c r="Z235" s="62"/>
      <c r="AA235" s="62"/>
      <c r="AB235" s="62"/>
      <c r="AC235" s="62"/>
      <c r="AD235" s="62"/>
      <c r="AE235" s="62"/>
      <c r="AF235" s="62"/>
      <c r="AG235" s="62"/>
      <c r="AH235" s="62"/>
      <c r="AI235" s="62"/>
      <c r="AJ235" s="62"/>
      <c r="AK235" s="62"/>
    </row>
    <row r="236" spans="1:37" ht="30" customHeight="1" x14ac:dyDescent="0.2">
      <c r="A236" s="182"/>
      <c r="B236" s="182"/>
      <c r="C236" s="182"/>
      <c r="D236" s="182"/>
      <c r="E236" s="177"/>
      <c r="F236" s="178"/>
      <c r="G236" s="179"/>
      <c r="H236" s="176"/>
      <c r="I236" s="176"/>
      <c r="J236" s="176"/>
      <c r="K236" s="176"/>
      <c r="L236" s="176"/>
      <c r="M236" s="176"/>
      <c r="N236" s="176"/>
      <c r="O236" s="176"/>
      <c r="P236" s="176"/>
      <c r="Q236" s="176"/>
      <c r="R236" s="176"/>
      <c r="S236" s="176"/>
      <c r="T236" s="176"/>
      <c r="U236" s="176"/>
      <c r="V236" s="176"/>
      <c r="W236" s="176"/>
      <c r="X236" s="176"/>
      <c r="Y236" s="62"/>
      <c r="Z236" s="62"/>
      <c r="AA236" s="62"/>
      <c r="AB236" s="62"/>
      <c r="AC236" s="62"/>
      <c r="AD236" s="62"/>
      <c r="AE236" s="62"/>
      <c r="AF236" s="62"/>
      <c r="AG236" s="62"/>
      <c r="AH236" s="62"/>
      <c r="AI236" s="62"/>
      <c r="AJ236" s="62"/>
      <c r="AK236" s="62"/>
    </row>
    <row r="237" spans="1:37" ht="30" customHeight="1" x14ac:dyDescent="0.2">
      <c r="A237" s="182"/>
      <c r="B237" s="182"/>
      <c r="C237" s="182"/>
      <c r="D237" s="182"/>
      <c r="E237" s="177"/>
      <c r="F237" s="178"/>
      <c r="G237" s="179"/>
      <c r="H237" s="176"/>
      <c r="I237" s="176"/>
      <c r="J237" s="176"/>
      <c r="K237" s="176"/>
      <c r="L237" s="176"/>
      <c r="M237" s="176"/>
      <c r="N237" s="176"/>
      <c r="O237" s="176"/>
      <c r="P237" s="176"/>
      <c r="Q237" s="176"/>
      <c r="R237" s="176"/>
      <c r="S237" s="176"/>
      <c r="T237" s="176"/>
      <c r="U237" s="176"/>
      <c r="V237" s="176"/>
      <c r="W237" s="176"/>
      <c r="X237" s="176"/>
      <c r="Y237" s="62"/>
      <c r="Z237" s="62"/>
      <c r="AA237" s="62"/>
      <c r="AB237" s="62"/>
      <c r="AC237" s="62"/>
      <c r="AD237" s="62"/>
      <c r="AE237" s="62"/>
      <c r="AF237" s="62"/>
      <c r="AG237" s="62"/>
      <c r="AH237" s="62"/>
      <c r="AI237" s="62"/>
      <c r="AJ237" s="62"/>
      <c r="AK237" s="62"/>
    </row>
    <row r="238" spans="1:37" ht="30" customHeight="1" x14ac:dyDescent="0.2">
      <c r="A238" s="182"/>
      <c r="B238" s="182"/>
      <c r="C238" s="182"/>
      <c r="D238" s="182"/>
      <c r="E238" s="177"/>
      <c r="F238" s="178"/>
      <c r="G238" s="179"/>
      <c r="H238" s="176"/>
      <c r="I238" s="176"/>
      <c r="J238" s="176"/>
      <c r="K238" s="176"/>
      <c r="L238" s="176"/>
      <c r="M238" s="176"/>
      <c r="N238" s="176"/>
      <c r="O238" s="176"/>
      <c r="P238" s="176"/>
      <c r="Q238" s="176"/>
      <c r="R238" s="176"/>
      <c r="S238" s="176"/>
      <c r="T238" s="176"/>
      <c r="U238" s="176"/>
      <c r="V238" s="176"/>
      <c r="W238" s="176"/>
      <c r="X238" s="176"/>
      <c r="Y238" s="62"/>
      <c r="Z238" s="62"/>
      <c r="AA238" s="62"/>
      <c r="AB238" s="62"/>
      <c r="AC238" s="62"/>
      <c r="AD238" s="62"/>
      <c r="AE238" s="62"/>
      <c r="AF238" s="62"/>
      <c r="AG238" s="62"/>
      <c r="AH238" s="62"/>
      <c r="AI238" s="62"/>
      <c r="AJ238" s="62"/>
      <c r="AK238" s="62"/>
    </row>
    <row r="239" spans="1:37" ht="30" customHeight="1" x14ac:dyDescent="0.2">
      <c r="A239" s="182"/>
      <c r="B239" s="182"/>
      <c r="C239" s="182"/>
      <c r="D239" s="182"/>
      <c r="E239" s="177"/>
      <c r="F239" s="178"/>
      <c r="G239" s="179"/>
      <c r="H239" s="176"/>
      <c r="I239" s="176"/>
      <c r="J239" s="176"/>
      <c r="K239" s="176"/>
      <c r="L239" s="176"/>
      <c r="M239" s="176"/>
      <c r="N239" s="176"/>
      <c r="O239" s="176"/>
      <c r="P239" s="176"/>
      <c r="Q239" s="176"/>
      <c r="R239" s="176"/>
      <c r="S239" s="176"/>
      <c r="T239" s="176"/>
      <c r="U239" s="176"/>
      <c r="V239" s="176"/>
      <c r="W239" s="176"/>
      <c r="X239" s="176"/>
      <c r="Y239" s="62"/>
      <c r="Z239" s="62"/>
      <c r="AA239" s="62"/>
      <c r="AB239" s="62"/>
      <c r="AC239" s="62"/>
      <c r="AD239" s="62"/>
      <c r="AE239" s="62"/>
      <c r="AF239" s="62"/>
      <c r="AG239" s="62"/>
      <c r="AH239" s="62"/>
      <c r="AI239" s="62"/>
      <c r="AJ239" s="62"/>
      <c r="AK239" s="62"/>
    </row>
    <row r="240" spans="1:37" ht="30" customHeight="1" x14ac:dyDescent="0.2">
      <c r="A240" s="182"/>
      <c r="B240" s="182"/>
      <c r="C240" s="182"/>
      <c r="D240" s="182"/>
      <c r="E240" s="177"/>
      <c r="F240" s="178"/>
      <c r="G240" s="179"/>
      <c r="H240" s="176"/>
      <c r="I240" s="176"/>
      <c r="J240" s="176"/>
      <c r="K240" s="176"/>
      <c r="L240" s="176"/>
      <c r="M240" s="176"/>
      <c r="N240" s="176"/>
      <c r="O240" s="176"/>
      <c r="P240" s="176"/>
      <c r="Q240" s="176"/>
      <c r="R240" s="176"/>
      <c r="S240" s="176"/>
      <c r="T240" s="176"/>
      <c r="U240" s="176"/>
      <c r="V240" s="176"/>
      <c r="W240" s="176"/>
      <c r="X240" s="176"/>
      <c r="Y240" s="62"/>
      <c r="Z240" s="62"/>
      <c r="AA240" s="62"/>
      <c r="AB240" s="62"/>
      <c r="AC240" s="62"/>
      <c r="AD240" s="62"/>
      <c r="AE240" s="62"/>
      <c r="AF240" s="62"/>
      <c r="AG240" s="62"/>
      <c r="AH240" s="62"/>
      <c r="AI240" s="62"/>
      <c r="AJ240" s="62"/>
      <c r="AK240" s="62"/>
    </row>
    <row r="241" spans="1:37" ht="30" customHeight="1" x14ac:dyDescent="0.2">
      <c r="A241" s="182"/>
      <c r="B241" s="182"/>
      <c r="C241" s="182"/>
      <c r="D241" s="182"/>
      <c r="E241" s="177"/>
      <c r="F241" s="178"/>
      <c r="G241" s="179"/>
      <c r="H241" s="176"/>
      <c r="I241" s="176"/>
      <c r="J241" s="176"/>
      <c r="K241" s="176"/>
      <c r="L241" s="176"/>
      <c r="M241" s="176"/>
      <c r="N241" s="176"/>
      <c r="O241" s="176"/>
      <c r="P241" s="176"/>
      <c r="Q241" s="176"/>
      <c r="R241" s="176"/>
      <c r="S241" s="176"/>
      <c r="T241" s="176"/>
      <c r="U241" s="176"/>
      <c r="V241" s="176"/>
      <c r="W241" s="176"/>
      <c r="X241" s="176"/>
      <c r="Y241" s="62"/>
      <c r="Z241" s="62"/>
      <c r="AA241" s="62"/>
      <c r="AB241" s="62"/>
      <c r="AC241" s="62"/>
      <c r="AD241" s="62"/>
      <c r="AE241" s="62"/>
      <c r="AF241" s="62"/>
      <c r="AG241" s="62"/>
      <c r="AH241" s="62"/>
      <c r="AI241" s="62"/>
      <c r="AJ241" s="62"/>
      <c r="AK241" s="62"/>
    </row>
    <row r="242" spans="1:37" ht="30" customHeight="1" x14ac:dyDescent="0.2">
      <c r="A242" s="182"/>
      <c r="B242" s="182"/>
      <c r="C242" s="182"/>
      <c r="D242" s="182"/>
      <c r="E242" s="177"/>
      <c r="F242" s="178"/>
      <c r="G242" s="179"/>
      <c r="H242" s="176"/>
      <c r="I242" s="176"/>
      <c r="J242" s="176"/>
      <c r="K242" s="176"/>
      <c r="L242" s="176"/>
      <c r="M242" s="176"/>
      <c r="N242" s="176"/>
      <c r="O242" s="176"/>
      <c r="P242" s="176"/>
      <c r="Q242" s="176"/>
      <c r="R242" s="176"/>
      <c r="S242" s="176"/>
      <c r="T242" s="176"/>
      <c r="U242" s="176"/>
      <c r="V242" s="176"/>
      <c r="W242" s="176"/>
      <c r="X242" s="176"/>
      <c r="Y242" s="62"/>
      <c r="Z242" s="62"/>
      <c r="AA242" s="62"/>
      <c r="AB242" s="62"/>
      <c r="AC242" s="62"/>
      <c r="AD242" s="62"/>
      <c r="AE242" s="62"/>
      <c r="AF242" s="62"/>
      <c r="AG242" s="62"/>
      <c r="AH242" s="62"/>
      <c r="AI242" s="62"/>
      <c r="AJ242" s="62"/>
      <c r="AK242" s="62"/>
    </row>
    <row r="243" spans="1:37" ht="30" customHeight="1" x14ac:dyDescent="0.2">
      <c r="A243" s="182"/>
      <c r="B243" s="182"/>
      <c r="C243" s="182"/>
      <c r="D243" s="182"/>
      <c r="E243" s="177"/>
      <c r="F243" s="178"/>
      <c r="G243" s="179"/>
      <c r="H243" s="176"/>
      <c r="I243" s="176"/>
      <c r="J243" s="176"/>
      <c r="K243" s="176"/>
      <c r="L243" s="176"/>
      <c r="M243" s="176"/>
      <c r="N243" s="176"/>
      <c r="O243" s="176"/>
      <c r="P243" s="176"/>
      <c r="Q243" s="176"/>
      <c r="R243" s="176"/>
      <c r="S243" s="176"/>
      <c r="T243" s="176"/>
      <c r="U243" s="176"/>
      <c r="V243" s="176"/>
      <c r="W243" s="176"/>
      <c r="X243" s="176"/>
      <c r="Y243" s="62"/>
      <c r="Z243" s="62"/>
      <c r="AA243" s="62"/>
      <c r="AB243" s="62"/>
      <c r="AC243" s="62"/>
      <c r="AD243" s="62"/>
      <c r="AE243" s="62"/>
      <c r="AF243" s="62"/>
      <c r="AG243" s="62"/>
      <c r="AH243" s="62"/>
      <c r="AI243" s="62"/>
      <c r="AJ243" s="62"/>
      <c r="AK243" s="62"/>
    </row>
    <row r="244" spans="1:37" ht="30" customHeight="1" x14ac:dyDescent="0.2">
      <c r="A244" s="182"/>
      <c r="B244" s="182"/>
      <c r="C244" s="182"/>
      <c r="D244" s="182"/>
      <c r="E244" s="177"/>
      <c r="F244" s="178"/>
      <c r="G244" s="179"/>
      <c r="H244" s="176"/>
      <c r="I244" s="176"/>
      <c r="J244" s="176"/>
      <c r="K244" s="176"/>
      <c r="L244" s="176"/>
      <c r="M244" s="176"/>
      <c r="N244" s="176"/>
      <c r="O244" s="176"/>
      <c r="P244" s="176"/>
      <c r="Q244" s="176"/>
      <c r="R244" s="176"/>
      <c r="S244" s="176"/>
      <c r="T244" s="176"/>
      <c r="U244" s="176"/>
      <c r="V244" s="176"/>
      <c r="W244" s="176"/>
      <c r="X244" s="176"/>
      <c r="Y244" s="62"/>
      <c r="Z244" s="62"/>
      <c r="AA244" s="62"/>
      <c r="AB244" s="62"/>
      <c r="AC244" s="62"/>
      <c r="AD244" s="62"/>
      <c r="AE244" s="62"/>
      <c r="AF244" s="62"/>
      <c r="AG244" s="62"/>
      <c r="AH244" s="62"/>
      <c r="AI244" s="62"/>
      <c r="AJ244" s="62"/>
      <c r="AK244" s="62"/>
    </row>
    <row r="245" spans="1:37" ht="30" customHeight="1" x14ac:dyDescent="0.2">
      <c r="A245" s="182"/>
      <c r="B245" s="182"/>
      <c r="C245" s="182"/>
      <c r="D245" s="182"/>
      <c r="E245" s="177"/>
      <c r="F245" s="178"/>
      <c r="G245" s="179"/>
      <c r="H245" s="176"/>
      <c r="I245" s="176"/>
      <c r="J245" s="176"/>
      <c r="K245" s="176"/>
      <c r="L245" s="176"/>
      <c r="M245" s="176"/>
      <c r="N245" s="176"/>
      <c r="O245" s="176"/>
      <c r="P245" s="176"/>
      <c r="Q245" s="176"/>
      <c r="R245" s="176"/>
      <c r="S245" s="176"/>
      <c r="T245" s="176"/>
      <c r="U245" s="176"/>
      <c r="V245" s="176"/>
      <c r="W245" s="176"/>
      <c r="X245" s="176"/>
      <c r="Y245" s="62"/>
      <c r="Z245" s="62"/>
      <c r="AA245" s="62"/>
      <c r="AB245" s="62"/>
      <c r="AC245" s="62"/>
      <c r="AD245" s="62"/>
      <c r="AE245" s="62"/>
      <c r="AF245" s="62"/>
      <c r="AG245" s="62"/>
      <c r="AH245" s="62"/>
      <c r="AI245" s="62"/>
      <c r="AJ245" s="62"/>
      <c r="AK245" s="62"/>
    </row>
    <row r="246" spans="1:37" ht="30" customHeight="1" x14ac:dyDescent="0.2">
      <c r="A246" s="182"/>
      <c r="B246" s="182"/>
      <c r="C246" s="182"/>
      <c r="D246" s="182"/>
      <c r="E246" s="177"/>
      <c r="F246" s="178"/>
      <c r="G246" s="179"/>
      <c r="H246" s="176"/>
      <c r="I246" s="176"/>
      <c r="J246" s="176"/>
      <c r="K246" s="176"/>
      <c r="L246" s="176"/>
      <c r="M246" s="176"/>
      <c r="N246" s="176"/>
      <c r="O246" s="176"/>
      <c r="P246" s="176"/>
      <c r="Q246" s="176"/>
      <c r="R246" s="176"/>
      <c r="S246" s="176"/>
      <c r="T246" s="176"/>
      <c r="U246" s="176"/>
      <c r="V246" s="176"/>
      <c r="W246" s="176"/>
      <c r="X246" s="176"/>
      <c r="Y246" s="62"/>
      <c r="Z246" s="62"/>
      <c r="AA246" s="62"/>
      <c r="AB246" s="62"/>
      <c r="AC246" s="62"/>
      <c r="AD246" s="62"/>
      <c r="AE246" s="62"/>
      <c r="AF246" s="62"/>
      <c r="AG246" s="62"/>
      <c r="AH246" s="62"/>
      <c r="AI246" s="62"/>
      <c r="AJ246" s="62"/>
      <c r="AK246" s="62"/>
    </row>
    <row r="247" spans="1:37" ht="30" customHeight="1" x14ac:dyDescent="0.2">
      <c r="A247" s="182"/>
      <c r="B247" s="182"/>
      <c r="C247" s="182"/>
      <c r="D247" s="182"/>
      <c r="E247" s="177"/>
      <c r="F247" s="178"/>
      <c r="G247" s="179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62"/>
      <c r="Z247" s="62"/>
      <c r="AA247" s="62"/>
      <c r="AB247" s="62"/>
      <c r="AC247" s="62"/>
      <c r="AD247" s="62"/>
      <c r="AE247" s="62"/>
      <c r="AF247" s="62"/>
      <c r="AG247" s="62"/>
      <c r="AH247" s="62"/>
      <c r="AI247" s="62"/>
      <c r="AJ247" s="62"/>
      <c r="AK247" s="62"/>
    </row>
    <row r="248" spans="1:37" ht="30" customHeight="1" x14ac:dyDescent="0.2">
      <c r="A248" s="182"/>
      <c r="B248" s="182"/>
      <c r="C248" s="182"/>
      <c r="D248" s="182"/>
      <c r="E248" s="177"/>
      <c r="F248" s="178"/>
      <c r="G248" s="179"/>
      <c r="H248" s="176"/>
      <c r="I248" s="176"/>
      <c r="J248" s="176"/>
      <c r="K248" s="176"/>
      <c r="L248" s="176"/>
      <c r="M248" s="176"/>
      <c r="N248" s="176"/>
      <c r="O248" s="176"/>
      <c r="P248" s="176"/>
      <c r="Q248" s="176"/>
      <c r="R248" s="176"/>
      <c r="S248" s="176"/>
      <c r="T248" s="176"/>
      <c r="U248" s="176"/>
      <c r="V248" s="176"/>
      <c r="W248" s="176"/>
      <c r="X248" s="176"/>
      <c r="Y248" s="62"/>
      <c r="Z248" s="62"/>
      <c r="AA248" s="62"/>
      <c r="AB248" s="62"/>
      <c r="AC248" s="62"/>
      <c r="AD248" s="62"/>
      <c r="AE248" s="62"/>
      <c r="AF248" s="62"/>
      <c r="AG248" s="62"/>
      <c r="AH248" s="62"/>
      <c r="AI248" s="62"/>
      <c r="AJ248" s="62"/>
      <c r="AK248" s="62"/>
    </row>
    <row r="249" spans="1:37" ht="30" customHeight="1" x14ac:dyDescent="0.2">
      <c r="A249" s="182"/>
      <c r="B249" s="182"/>
      <c r="C249" s="182"/>
      <c r="D249" s="182"/>
      <c r="E249" s="177"/>
      <c r="F249" s="178"/>
      <c r="G249" s="179"/>
      <c r="H249" s="176"/>
      <c r="I249" s="176"/>
      <c r="J249" s="176"/>
      <c r="K249" s="176"/>
      <c r="L249" s="176"/>
      <c r="M249" s="176"/>
      <c r="N249" s="176"/>
      <c r="O249" s="176"/>
      <c r="P249" s="176"/>
      <c r="Q249" s="176"/>
      <c r="R249" s="176"/>
      <c r="S249" s="176"/>
      <c r="T249" s="176"/>
      <c r="U249" s="176"/>
      <c r="V249" s="176"/>
      <c r="W249" s="176"/>
      <c r="X249" s="176"/>
      <c r="Y249" s="62"/>
      <c r="Z249" s="62"/>
      <c r="AA249" s="62"/>
      <c r="AB249" s="62"/>
      <c r="AC249" s="62"/>
      <c r="AD249" s="62"/>
      <c r="AE249" s="62"/>
      <c r="AF249" s="62"/>
      <c r="AG249" s="62"/>
      <c r="AH249" s="62"/>
      <c r="AI249" s="62"/>
      <c r="AJ249" s="62"/>
      <c r="AK249" s="62"/>
    </row>
    <row r="250" spans="1:37" ht="30" customHeight="1" x14ac:dyDescent="0.2">
      <c r="A250" s="182"/>
      <c r="B250" s="182"/>
      <c r="C250" s="182"/>
      <c r="D250" s="182"/>
      <c r="E250" s="177"/>
      <c r="F250" s="178"/>
      <c r="G250" s="179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62"/>
      <c r="Z250" s="62"/>
      <c r="AA250" s="62"/>
      <c r="AB250" s="62"/>
      <c r="AC250" s="62"/>
      <c r="AD250" s="62"/>
      <c r="AE250" s="62"/>
      <c r="AF250" s="62"/>
      <c r="AG250" s="62"/>
      <c r="AH250" s="62"/>
      <c r="AI250" s="62"/>
      <c r="AJ250" s="62"/>
      <c r="AK250" s="62"/>
    </row>
    <row r="251" spans="1:37" ht="30" customHeight="1" x14ac:dyDescent="0.2">
      <c r="A251" s="182"/>
      <c r="B251" s="182"/>
      <c r="C251" s="182"/>
      <c r="D251" s="182"/>
      <c r="E251" s="177"/>
      <c r="F251" s="178"/>
      <c r="G251" s="179"/>
      <c r="H251" s="176"/>
      <c r="I251" s="176"/>
      <c r="J251" s="176"/>
      <c r="K251" s="176"/>
      <c r="L251" s="176"/>
      <c r="M251" s="176"/>
      <c r="N251" s="176"/>
      <c r="O251" s="176"/>
      <c r="P251" s="176"/>
      <c r="Q251" s="176"/>
      <c r="R251" s="176"/>
      <c r="S251" s="176"/>
      <c r="T251" s="176"/>
      <c r="U251" s="176"/>
      <c r="V251" s="176"/>
      <c r="W251" s="176"/>
      <c r="X251" s="176"/>
      <c r="Y251" s="62"/>
      <c r="Z251" s="62"/>
      <c r="AA251" s="62"/>
      <c r="AB251" s="62"/>
      <c r="AC251" s="62"/>
      <c r="AD251" s="62"/>
      <c r="AE251" s="62"/>
      <c r="AF251" s="62"/>
      <c r="AG251" s="62"/>
      <c r="AH251" s="62"/>
      <c r="AI251" s="62"/>
      <c r="AJ251" s="62"/>
      <c r="AK251" s="62"/>
    </row>
    <row r="252" spans="1:37" ht="30" customHeight="1" x14ac:dyDescent="0.2">
      <c r="A252" s="182"/>
      <c r="B252" s="182"/>
      <c r="C252" s="182"/>
      <c r="D252" s="182"/>
      <c r="E252" s="177"/>
      <c r="F252" s="178"/>
      <c r="G252" s="179"/>
      <c r="H252" s="176"/>
      <c r="I252" s="176"/>
      <c r="J252" s="176"/>
      <c r="K252" s="176"/>
      <c r="L252" s="176"/>
      <c r="M252" s="176"/>
      <c r="N252" s="176"/>
      <c r="O252" s="176"/>
      <c r="P252" s="176"/>
      <c r="Q252" s="176"/>
      <c r="R252" s="176"/>
      <c r="S252" s="176"/>
      <c r="T252" s="176"/>
      <c r="U252" s="176"/>
      <c r="V252" s="176"/>
      <c r="W252" s="176"/>
      <c r="X252" s="176"/>
      <c r="Y252" s="62"/>
      <c r="Z252" s="62"/>
      <c r="AA252" s="62"/>
      <c r="AB252" s="62"/>
      <c r="AC252" s="62"/>
      <c r="AD252" s="62"/>
      <c r="AE252" s="62"/>
      <c r="AF252" s="62"/>
      <c r="AG252" s="62"/>
      <c r="AH252" s="62"/>
      <c r="AI252" s="62"/>
      <c r="AJ252" s="62"/>
      <c r="AK252" s="62"/>
    </row>
    <row r="253" spans="1:37" ht="30" customHeight="1" x14ac:dyDescent="0.2">
      <c r="A253" s="182"/>
      <c r="B253" s="182"/>
      <c r="C253" s="182"/>
      <c r="D253" s="182"/>
      <c r="E253" s="177"/>
      <c r="F253" s="178"/>
      <c r="G253" s="179"/>
      <c r="H253" s="176"/>
      <c r="I253" s="176"/>
      <c r="J253" s="176"/>
      <c r="K253" s="176"/>
      <c r="L253" s="176"/>
      <c r="M253" s="176"/>
      <c r="N253" s="176"/>
      <c r="O253" s="176"/>
      <c r="P253" s="176"/>
      <c r="Q253" s="176"/>
      <c r="R253" s="176"/>
      <c r="S253" s="176"/>
      <c r="T253" s="176"/>
      <c r="U253" s="176"/>
      <c r="V253" s="176"/>
      <c r="W253" s="176"/>
      <c r="X253" s="176"/>
      <c r="Y253" s="62"/>
      <c r="Z253" s="62"/>
      <c r="AA253" s="62"/>
      <c r="AB253" s="62"/>
      <c r="AC253" s="62"/>
      <c r="AD253" s="62"/>
      <c r="AE253" s="62"/>
      <c r="AF253" s="62"/>
      <c r="AG253" s="62"/>
      <c r="AH253" s="62"/>
      <c r="AI253" s="62"/>
      <c r="AJ253" s="62"/>
      <c r="AK253" s="62"/>
    </row>
    <row r="254" spans="1:37" ht="30" customHeight="1" x14ac:dyDescent="0.2">
      <c r="A254" s="182"/>
      <c r="B254" s="182"/>
      <c r="C254" s="182"/>
      <c r="D254" s="182"/>
      <c r="E254" s="177"/>
      <c r="F254" s="178"/>
      <c r="G254" s="179"/>
      <c r="H254" s="176"/>
      <c r="I254" s="176"/>
      <c r="J254" s="176"/>
      <c r="K254" s="176"/>
      <c r="L254" s="176"/>
      <c r="M254" s="176"/>
      <c r="N254" s="176"/>
      <c r="O254" s="176"/>
      <c r="P254" s="176"/>
      <c r="Q254" s="176"/>
      <c r="R254" s="176"/>
      <c r="S254" s="176"/>
      <c r="T254" s="176"/>
      <c r="U254" s="176"/>
      <c r="V254" s="176"/>
      <c r="W254" s="176"/>
      <c r="X254" s="176"/>
      <c r="Y254" s="62"/>
      <c r="Z254" s="62"/>
      <c r="AA254" s="62"/>
      <c r="AB254" s="62"/>
      <c r="AC254" s="62"/>
      <c r="AD254" s="62"/>
      <c r="AE254" s="62"/>
      <c r="AF254" s="62"/>
      <c r="AG254" s="62"/>
      <c r="AH254" s="62"/>
      <c r="AI254" s="62"/>
      <c r="AJ254" s="62"/>
      <c r="AK254" s="62"/>
    </row>
    <row r="255" spans="1:37" ht="30" customHeight="1" x14ac:dyDescent="0.2">
      <c r="A255" s="182"/>
      <c r="B255" s="182"/>
      <c r="C255" s="182"/>
      <c r="D255" s="182"/>
      <c r="E255" s="177"/>
      <c r="F255" s="178"/>
      <c r="G255" s="179"/>
      <c r="H255" s="176"/>
      <c r="I255" s="176"/>
      <c r="J255" s="176"/>
      <c r="K255" s="176"/>
      <c r="L255" s="176"/>
      <c r="M255" s="176"/>
      <c r="N255" s="176"/>
      <c r="O255" s="176"/>
      <c r="P255" s="176"/>
      <c r="Q255" s="176"/>
      <c r="R255" s="176"/>
      <c r="S255" s="176"/>
      <c r="T255" s="176"/>
      <c r="U255" s="176"/>
      <c r="V255" s="176"/>
      <c r="W255" s="176"/>
      <c r="X255" s="176"/>
      <c r="Y255" s="62"/>
      <c r="Z255" s="62"/>
      <c r="AA255" s="62"/>
      <c r="AB255" s="62"/>
      <c r="AC255" s="62"/>
      <c r="AD255" s="62"/>
      <c r="AE255" s="62"/>
      <c r="AF255" s="62"/>
      <c r="AG255" s="62"/>
      <c r="AH255" s="62"/>
      <c r="AI255" s="62"/>
      <c r="AJ255" s="62"/>
      <c r="AK255" s="62"/>
    </row>
    <row r="256" spans="1:37" ht="30" customHeight="1" x14ac:dyDescent="0.2">
      <c r="A256" s="182"/>
      <c r="B256" s="182"/>
      <c r="C256" s="182"/>
      <c r="D256" s="182"/>
      <c r="E256" s="177"/>
      <c r="F256" s="178"/>
      <c r="G256" s="179"/>
      <c r="H256" s="176"/>
      <c r="I256" s="176"/>
      <c r="J256" s="176"/>
      <c r="K256" s="176"/>
      <c r="L256" s="176"/>
      <c r="M256" s="176"/>
      <c r="N256" s="176"/>
      <c r="O256" s="176"/>
      <c r="P256" s="176"/>
      <c r="Q256" s="176"/>
      <c r="R256" s="176"/>
      <c r="S256" s="176"/>
      <c r="T256" s="176"/>
      <c r="U256" s="176"/>
      <c r="V256" s="176"/>
      <c r="W256" s="176"/>
      <c r="X256" s="176"/>
      <c r="Y256" s="62"/>
      <c r="Z256" s="62"/>
      <c r="AA256" s="62"/>
      <c r="AB256" s="62"/>
      <c r="AC256" s="62"/>
      <c r="AD256" s="62"/>
      <c r="AE256" s="62"/>
      <c r="AF256" s="62"/>
      <c r="AG256" s="62"/>
      <c r="AH256" s="62"/>
      <c r="AI256" s="62"/>
      <c r="AJ256" s="62"/>
      <c r="AK256" s="62"/>
    </row>
    <row r="257" spans="1:37" ht="30" customHeight="1" x14ac:dyDescent="0.2">
      <c r="A257" s="182"/>
      <c r="B257" s="182"/>
      <c r="C257" s="182"/>
      <c r="D257" s="182"/>
      <c r="E257" s="177"/>
      <c r="F257" s="178"/>
      <c r="G257" s="179"/>
      <c r="H257" s="176"/>
      <c r="I257" s="176"/>
      <c r="J257" s="176"/>
      <c r="K257" s="176"/>
      <c r="L257" s="176"/>
      <c r="M257" s="176"/>
      <c r="N257" s="176"/>
      <c r="O257" s="176"/>
      <c r="P257" s="176"/>
      <c r="Q257" s="176"/>
      <c r="R257" s="176"/>
      <c r="S257" s="176"/>
      <c r="T257" s="176"/>
      <c r="U257" s="176"/>
      <c r="V257" s="176"/>
      <c r="W257" s="176"/>
      <c r="X257" s="176"/>
      <c r="Y257" s="62"/>
      <c r="Z257" s="62"/>
      <c r="AA257" s="62"/>
      <c r="AB257" s="62"/>
      <c r="AC257" s="62"/>
      <c r="AD257" s="62"/>
      <c r="AE257" s="62"/>
      <c r="AF257" s="62"/>
      <c r="AG257" s="62"/>
      <c r="AH257" s="62"/>
      <c r="AI257" s="62"/>
      <c r="AJ257" s="62"/>
      <c r="AK257" s="62"/>
    </row>
    <row r="258" spans="1:37" ht="30" customHeight="1" x14ac:dyDescent="0.2">
      <c r="A258" s="182"/>
      <c r="B258" s="182"/>
      <c r="C258" s="182"/>
      <c r="D258" s="182"/>
      <c r="E258" s="177"/>
      <c r="F258" s="178"/>
      <c r="G258" s="179"/>
      <c r="H258" s="176"/>
      <c r="I258" s="176"/>
      <c r="J258" s="176"/>
      <c r="K258" s="176"/>
      <c r="L258" s="176"/>
      <c r="M258" s="176"/>
      <c r="N258" s="176"/>
      <c r="O258" s="176"/>
      <c r="P258" s="176"/>
      <c r="Q258" s="176"/>
      <c r="R258" s="176"/>
      <c r="S258" s="176"/>
      <c r="T258" s="176"/>
      <c r="U258" s="176"/>
      <c r="V258" s="176"/>
      <c r="W258" s="176"/>
      <c r="X258" s="176"/>
      <c r="Y258" s="62"/>
      <c r="Z258" s="62"/>
      <c r="AA258" s="62"/>
      <c r="AB258" s="62"/>
      <c r="AC258" s="62"/>
      <c r="AD258" s="62"/>
      <c r="AE258" s="62"/>
      <c r="AF258" s="62"/>
      <c r="AG258" s="62"/>
      <c r="AH258" s="62"/>
      <c r="AI258" s="62"/>
      <c r="AJ258" s="62"/>
      <c r="AK258" s="62"/>
    </row>
    <row r="259" spans="1:37" ht="30" customHeight="1" x14ac:dyDescent="0.2">
      <c r="A259" s="182"/>
      <c r="B259" s="182"/>
      <c r="C259" s="182"/>
      <c r="D259" s="182"/>
      <c r="E259" s="177"/>
      <c r="F259" s="178"/>
      <c r="G259" s="179"/>
      <c r="H259" s="176"/>
      <c r="I259" s="176"/>
      <c r="J259" s="176"/>
      <c r="K259" s="176"/>
      <c r="L259" s="176"/>
      <c r="M259" s="176"/>
      <c r="N259" s="176"/>
      <c r="O259" s="176"/>
      <c r="P259" s="176"/>
      <c r="Q259" s="176"/>
      <c r="R259" s="176"/>
      <c r="S259" s="176"/>
      <c r="T259" s="176"/>
      <c r="U259" s="176"/>
      <c r="V259" s="176"/>
      <c r="W259" s="176"/>
      <c r="X259" s="176"/>
      <c r="Y259" s="62"/>
      <c r="Z259" s="62"/>
      <c r="AA259" s="62"/>
      <c r="AB259" s="62"/>
      <c r="AC259" s="62"/>
      <c r="AD259" s="62"/>
      <c r="AE259" s="62"/>
      <c r="AF259" s="62"/>
      <c r="AG259" s="62"/>
      <c r="AH259" s="62"/>
      <c r="AI259" s="62"/>
      <c r="AJ259" s="62"/>
      <c r="AK259" s="62"/>
    </row>
    <row r="260" spans="1:37" ht="30" customHeight="1" x14ac:dyDescent="0.2">
      <c r="A260" s="182"/>
      <c r="B260" s="182"/>
      <c r="C260" s="182"/>
      <c r="D260" s="182"/>
      <c r="E260" s="177"/>
      <c r="F260" s="178"/>
      <c r="G260" s="179"/>
      <c r="H260" s="176"/>
      <c r="I260" s="176"/>
      <c r="J260" s="176"/>
      <c r="K260" s="176"/>
      <c r="L260" s="176"/>
      <c r="M260" s="176"/>
      <c r="N260" s="176"/>
      <c r="O260" s="176"/>
      <c r="P260" s="176"/>
      <c r="Q260" s="176"/>
      <c r="R260" s="176"/>
      <c r="S260" s="176"/>
      <c r="T260" s="176"/>
      <c r="U260" s="176"/>
      <c r="V260" s="176"/>
      <c r="W260" s="176"/>
      <c r="X260" s="176"/>
      <c r="Y260" s="62"/>
      <c r="Z260" s="62"/>
      <c r="AA260" s="62"/>
      <c r="AB260" s="62"/>
      <c r="AC260" s="62"/>
      <c r="AD260" s="62"/>
      <c r="AE260" s="62"/>
      <c r="AF260" s="62"/>
      <c r="AG260" s="62"/>
      <c r="AH260" s="62"/>
      <c r="AI260" s="62"/>
      <c r="AJ260" s="62"/>
      <c r="AK260" s="62"/>
    </row>
    <row r="261" spans="1:37" ht="30" customHeight="1" x14ac:dyDescent="0.2">
      <c r="A261" s="182"/>
      <c r="B261" s="182"/>
      <c r="C261" s="182"/>
      <c r="D261" s="182"/>
      <c r="E261" s="177"/>
      <c r="F261" s="178"/>
      <c r="G261" s="179"/>
      <c r="H261" s="176"/>
      <c r="I261" s="176"/>
      <c r="J261" s="176"/>
      <c r="K261" s="176"/>
      <c r="L261" s="176"/>
      <c r="M261" s="176"/>
      <c r="N261" s="176"/>
      <c r="O261" s="176"/>
      <c r="P261" s="176"/>
      <c r="Q261" s="176"/>
      <c r="R261" s="176"/>
      <c r="S261" s="176"/>
      <c r="T261" s="176"/>
      <c r="U261" s="176"/>
      <c r="V261" s="176"/>
      <c r="W261" s="176"/>
      <c r="X261" s="176"/>
      <c r="Y261" s="62"/>
      <c r="Z261" s="62"/>
      <c r="AA261" s="62"/>
      <c r="AB261" s="62"/>
      <c r="AC261" s="62"/>
      <c r="AD261" s="62"/>
      <c r="AE261" s="62"/>
      <c r="AF261" s="62"/>
      <c r="AG261" s="62"/>
      <c r="AH261" s="62"/>
      <c r="AI261" s="62"/>
      <c r="AJ261" s="62"/>
      <c r="AK261" s="62"/>
    </row>
    <row r="262" spans="1:37" ht="30" customHeight="1" x14ac:dyDescent="0.2">
      <c r="A262" s="182"/>
      <c r="B262" s="182"/>
      <c r="C262" s="182"/>
      <c r="D262" s="182"/>
      <c r="E262" s="177"/>
      <c r="F262" s="178"/>
      <c r="G262" s="179"/>
      <c r="H262" s="176"/>
      <c r="I262" s="176"/>
      <c r="J262" s="176"/>
      <c r="K262" s="176"/>
      <c r="L262" s="176"/>
      <c r="M262" s="176"/>
      <c r="N262" s="176"/>
      <c r="O262" s="176"/>
      <c r="P262" s="176"/>
      <c r="Q262" s="176"/>
      <c r="R262" s="176"/>
      <c r="S262" s="176"/>
      <c r="T262" s="176"/>
      <c r="U262" s="176"/>
      <c r="V262" s="176"/>
      <c r="W262" s="176"/>
      <c r="X262" s="176"/>
      <c r="Y262" s="62"/>
      <c r="Z262" s="62"/>
      <c r="AA262" s="62"/>
      <c r="AB262" s="62"/>
      <c r="AC262" s="62"/>
      <c r="AD262" s="62"/>
      <c r="AE262" s="62"/>
      <c r="AF262" s="62"/>
      <c r="AG262" s="62"/>
      <c r="AH262" s="62"/>
      <c r="AI262" s="62"/>
      <c r="AJ262" s="62"/>
      <c r="AK262" s="62"/>
    </row>
    <row r="263" spans="1:37" ht="30" customHeight="1" x14ac:dyDescent="0.2">
      <c r="A263" s="182"/>
      <c r="B263" s="182"/>
      <c r="C263" s="182"/>
      <c r="D263" s="182"/>
      <c r="E263" s="177"/>
      <c r="F263" s="178"/>
      <c r="G263" s="179"/>
      <c r="H263" s="176"/>
      <c r="I263" s="176"/>
      <c r="J263" s="176"/>
      <c r="K263" s="176"/>
      <c r="L263" s="176"/>
      <c r="M263" s="176"/>
      <c r="N263" s="176"/>
      <c r="O263" s="176"/>
      <c r="P263" s="176"/>
      <c r="Q263" s="176"/>
      <c r="R263" s="176"/>
      <c r="S263" s="176"/>
      <c r="T263" s="176"/>
      <c r="U263" s="176"/>
      <c r="V263" s="176"/>
      <c r="W263" s="176"/>
      <c r="X263" s="176"/>
      <c r="Y263" s="62"/>
      <c r="Z263" s="62"/>
      <c r="AA263" s="62"/>
      <c r="AB263" s="62"/>
      <c r="AC263" s="62"/>
      <c r="AD263" s="62"/>
      <c r="AE263" s="62"/>
      <c r="AF263" s="62"/>
      <c r="AG263" s="62"/>
      <c r="AH263" s="62"/>
      <c r="AI263" s="62"/>
      <c r="AJ263" s="62"/>
      <c r="AK263" s="62"/>
    </row>
    <row r="264" spans="1:37" ht="30" customHeight="1" x14ac:dyDescent="0.2">
      <c r="A264" s="182"/>
      <c r="B264" s="182"/>
      <c r="C264" s="182"/>
      <c r="D264" s="182"/>
      <c r="E264" s="177"/>
      <c r="F264" s="178"/>
      <c r="G264" s="179"/>
      <c r="H264" s="176"/>
      <c r="I264" s="176"/>
      <c r="J264" s="176"/>
      <c r="K264" s="176"/>
      <c r="L264" s="176"/>
      <c r="M264" s="176"/>
      <c r="N264" s="176"/>
      <c r="O264" s="176"/>
      <c r="P264" s="176"/>
      <c r="Q264" s="176"/>
      <c r="R264" s="176"/>
      <c r="S264" s="176"/>
      <c r="T264" s="176"/>
      <c r="U264" s="176"/>
      <c r="V264" s="176"/>
      <c r="W264" s="176"/>
      <c r="X264" s="176"/>
      <c r="Y264" s="62"/>
      <c r="Z264" s="62"/>
      <c r="AA264" s="62"/>
      <c r="AB264" s="62"/>
      <c r="AC264" s="62"/>
      <c r="AD264" s="62"/>
      <c r="AE264" s="62"/>
      <c r="AF264" s="62"/>
      <c r="AG264" s="62"/>
      <c r="AH264" s="62"/>
      <c r="AI264" s="62"/>
      <c r="AJ264" s="62"/>
      <c r="AK264" s="62"/>
    </row>
    <row r="265" spans="1:37" ht="30" customHeight="1" x14ac:dyDescent="0.2">
      <c r="A265" s="182"/>
      <c r="B265" s="182"/>
      <c r="C265" s="182"/>
      <c r="D265" s="182"/>
      <c r="E265" s="177"/>
      <c r="F265" s="178"/>
      <c r="G265" s="179"/>
      <c r="H265" s="176"/>
      <c r="I265" s="176"/>
      <c r="J265" s="176"/>
      <c r="K265" s="176"/>
      <c r="L265" s="176"/>
      <c r="M265" s="176"/>
      <c r="N265" s="176"/>
      <c r="O265" s="176"/>
      <c r="P265" s="176"/>
      <c r="Q265" s="176"/>
      <c r="R265" s="176"/>
      <c r="S265" s="176"/>
      <c r="T265" s="176"/>
      <c r="U265" s="176"/>
      <c r="V265" s="176"/>
      <c r="W265" s="176"/>
      <c r="X265" s="176"/>
      <c r="Y265" s="62"/>
      <c r="Z265" s="62"/>
      <c r="AA265" s="62"/>
      <c r="AB265" s="62"/>
      <c r="AC265" s="62"/>
      <c r="AD265" s="62"/>
      <c r="AE265" s="62"/>
      <c r="AF265" s="62"/>
      <c r="AG265" s="62"/>
      <c r="AH265" s="62"/>
      <c r="AI265" s="62"/>
      <c r="AJ265" s="62"/>
      <c r="AK265" s="62"/>
    </row>
    <row r="266" spans="1:37" ht="30" customHeight="1" x14ac:dyDescent="0.2">
      <c r="A266" s="182"/>
      <c r="B266" s="182"/>
      <c r="C266" s="182"/>
      <c r="D266" s="182"/>
      <c r="E266" s="177"/>
      <c r="F266" s="178"/>
      <c r="G266" s="179"/>
      <c r="H266" s="176"/>
      <c r="I266" s="176"/>
      <c r="J266" s="176"/>
      <c r="K266" s="176"/>
      <c r="L266" s="176"/>
      <c r="M266" s="176"/>
      <c r="N266" s="176"/>
      <c r="O266" s="176"/>
      <c r="P266" s="176"/>
      <c r="Q266" s="176"/>
      <c r="R266" s="176"/>
      <c r="S266" s="176"/>
      <c r="T266" s="176"/>
      <c r="U266" s="176"/>
      <c r="V266" s="176"/>
      <c r="W266" s="176"/>
      <c r="X266" s="176"/>
      <c r="Y266" s="62"/>
      <c r="Z266" s="62"/>
      <c r="AA266" s="62"/>
      <c r="AB266" s="62"/>
      <c r="AC266" s="62"/>
      <c r="AD266" s="62"/>
      <c r="AE266" s="62"/>
      <c r="AF266" s="62"/>
      <c r="AG266" s="62"/>
      <c r="AH266" s="62"/>
      <c r="AI266" s="62"/>
      <c r="AJ266" s="62"/>
      <c r="AK266" s="62"/>
    </row>
    <row r="267" spans="1:37" ht="30" customHeight="1" x14ac:dyDescent="0.2">
      <c r="A267" s="182"/>
      <c r="B267" s="182"/>
      <c r="C267" s="182"/>
      <c r="D267" s="182"/>
      <c r="E267" s="177"/>
      <c r="F267" s="178"/>
      <c r="G267" s="179"/>
      <c r="H267" s="176"/>
      <c r="I267" s="176"/>
      <c r="J267" s="176"/>
      <c r="K267" s="176"/>
      <c r="L267" s="176"/>
      <c r="M267" s="176"/>
      <c r="N267" s="176"/>
      <c r="O267" s="176"/>
      <c r="P267" s="176"/>
      <c r="Q267" s="176"/>
      <c r="R267" s="176"/>
      <c r="S267" s="176"/>
      <c r="T267" s="176"/>
      <c r="U267" s="176"/>
      <c r="V267" s="176"/>
      <c r="W267" s="176"/>
      <c r="X267" s="176"/>
      <c r="Y267" s="62"/>
      <c r="Z267" s="62"/>
      <c r="AA267" s="62"/>
      <c r="AB267" s="62"/>
      <c r="AC267" s="62"/>
      <c r="AD267" s="62"/>
      <c r="AE267" s="62"/>
      <c r="AF267" s="62"/>
      <c r="AG267" s="62"/>
      <c r="AH267" s="62"/>
      <c r="AI267" s="62"/>
      <c r="AJ267" s="62"/>
      <c r="AK267" s="62"/>
    </row>
    <row r="268" spans="1:37" ht="30" customHeight="1" x14ac:dyDescent="0.2">
      <c r="A268" s="182"/>
      <c r="B268" s="182"/>
      <c r="C268" s="182"/>
      <c r="D268" s="182"/>
      <c r="E268" s="177"/>
      <c r="F268" s="178"/>
      <c r="G268" s="179"/>
      <c r="H268" s="176"/>
      <c r="I268" s="176"/>
      <c r="J268" s="176"/>
      <c r="K268" s="176"/>
      <c r="L268" s="176"/>
      <c r="M268" s="176"/>
      <c r="N268" s="176"/>
      <c r="O268" s="176"/>
      <c r="P268" s="176"/>
      <c r="Q268" s="176"/>
      <c r="R268" s="176"/>
      <c r="S268" s="176"/>
      <c r="T268" s="176"/>
      <c r="U268" s="176"/>
      <c r="V268" s="176"/>
      <c r="W268" s="176"/>
      <c r="X268" s="176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</row>
    <row r="269" spans="1:37" ht="30" customHeight="1" x14ac:dyDescent="0.2">
      <c r="A269" s="182"/>
      <c r="B269" s="182"/>
      <c r="C269" s="182"/>
      <c r="D269" s="182"/>
      <c r="E269" s="177"/>
      <c r="F269" s="178"/>
      <c r="G269" s="179"/>
      <c r="H269" s="176"/>
      <c r="I269" s="176"/>
      <c r="J269" s="176"/>
      <c r="K269" s="176"/>
      <c r="L269" s="176"/>
      <c r="M269" s="176"/>
      <c r="N269" s="176"/>
      <c r="O269" s="176"/>
      <c r="P269" s="176"/>
      <c r="Q269" s="176"/>
      <c r="R269" s="176"/>
      <c r="S269" s="176"/>
      <c r="T269" s="176"/>
      <c r="U269" s="176"/>
      <c r="V269" s="176"/>
      <c r="W269" s="176"/>
      <c r="X269" s="176"/>
      <c r="Y269" s="62"/>
      <c r="Z269" s="62"/>
      <c r="AA269" s="62"/>
      <c r="AB269" s="62"/>
      <c r="AC269" s="62"/>
      <c r="AD269" s="62"/>
      <c r="AE269" s="62"/>
      <c r="AF269" s="62"/>
      <c r="AG269" s="62"/>
      <c r="AH269" s="62"/>
      <c r="AI269" s="62"/>
      <c r="AJ269" s="62"/>
      <c r="AK269" s="62"/>
    </row>
    <row r="270" spans="1:37" ht="30" customHeight="1" x14ac:dyDescent="0.2">
      <c r="A270" s="182"/>
      <c r="B270" s="182"/>
      <c r="C270" s="182"/>
      <c r="D270" s="182"/>
      <c r="E270" s="177"/>
      <c r="F270" s="178"/>
      <c r="G270" s="179"/>
      <c r="H270" s="176"/>
      <c r="I270" s="176"/>
      <c r="J270" s="176"/>
      <c r="K270" s="176"/>
      <c r="L270" s="176"/>
      <c r="M270" s="176"/>
      <c r="N270" s="176"/>
      <c r="O270" s="176"/>
      <c r="P270" s="176"/>
      <c r="Q270" s="176"/>
      <c r="R270" s="176"/>
      <c r="S270" s="176"/>
      <c r="T270" s="176"/>
      <c r="U270" s="176"/>
      <c r="V270" s="176"/>
      <c r="W270" s="176"/>
      <c r="X270" s="176"/>
      <c r="Y270" s="62"/>
      <c r="Z270" s="62"/>
      <c r="AA270" s="62"/>
      <c r="AB270" s="62"/>
      <c r="AC270" s="62"/>
      <c r="AD270" s="62"/>
      <c r="AE270" s="62"/>
      <c r="AF270" s="62"/>
      <c r="AG270" s="62"/>
      <c r="AH270" s="62"/>
      <c r="AI270" s="62"/>
      <c r="AJ270" s="62"/>
      <c r="AK270" s="62"/>
    </row>
    <row r="271" spans="1:37" ht="30" customHeight="1" x14ac:dyDescent="0.2">
      <c r="A271" s="182"/>
      <c r="B271" s="182"/>
      <c r="C271" s="182"/>
      <c r="D271" s="182"/>
      <c r="E271" s="177"/>
      <c r="F271" s="178"/>
      <c r="G271" s="179"/>
      <c r="H271" s="176"/>
      <c r="I271" s="176"/>
      <c r="J271" s="176"/>
      <c r="K271" s="176"/>
      <c r="L271" s="176"/>
      <c r="M271" s="176"/>
      <c r="N271" s="176"/>
      <c r="O271" s="176"/>
      <c r="P271" s="176"/>
      <c r="Q271" s="176"/>
      <c r="R271" s="176"/>
      <c r="S271" s="176"/>
      <c r="T271" s="176"/>
      <c r="U271" s="176"/>
      <c r="V271" s="176"/>
      <c r="W271" s="176"/>
      <c r="X271" s="176"/>
      <c r="Y271" s="62"/>
      <c r="Z271" s="62"/>
      <c r="AA271" s="62"/>
      <c r="AB271" s="62"/>
      <c r="AC271" s="62"/>
      <c r="AD271" s="62"/>
      <c r="AE271" s="62"/>
      <c r="AF271" s="62"/>
      <c r="AG271" s="62"/>
      <c r="AH271" s="62"/>
      <c r="AI271" s="62"/>
      <c r="AJ271" s="62"/>
      <c r="AK271" s="62"/>
    </row>
    <row r="272" spans="1:37" ht="30" customHeight="1" x14ac:dyDescent="0.2">
      <c r="A272" s="182"/>
      <c r="B272" s="182"/>
      <c r="C272" s="182"/>
      <c r="D272" s="182"/>
      <c r="E272" s="177"/>
      <c r="F272" s="178"/>
      <c r="G272" s="179"/>
      <c r="H272" s="176"/>
      <c r="I272" s="176"/>
      <c r="J272" s="176"/>
      <c r="K272" s="176"/>
      <c r="L272" s="176"/>
      <c r="M272" s="176"/>
      <c r="N272" s="176"/>
      <c r="O272" s="176"/>
      <c r="P272" s="176"/>
      <c r="Q272" s="176"/>
      <c r="R272" s="176"/>
      <c r="S272" s="176"/>
      <c r="T272" s="176"/>
      <c r="U272" s="176"/>
      <c r="V272" s="176"/>
      <c r="W272" s="176"/>
      <c r="X272" s="176"/>
      <c r="Y272" s="62"/>
      <c r="Z272" s="62"/>
      <c r="AA272" s="62"/>
      <c r="AB272" s="62"/>
      <c r="AC272" s="62"/>
      <c r="AD272" s="62"/>
      <c r="AE272" s="62"/>
      <c r="AF272" s="62"/>
      <c r="AG272" s="62"/>
      <c r="AH272" s="62"/>
      <c r="AI272" s="62"/>
      <c r="AJ272" s="62"/>
      <c r="AK272" s="62"/>
    </row>
    <row r="273" spans="1:37" ht="30" customHeight="1" x14ac:dyDescent="0.2">
      <c r="A273" s="182"/>
      <c r="B273" s="182"/>
      <c r="C273" s="182"/>
      <c r="D273" s="182"/>
      <c r="E273" s="177"/>
      <c r="F273" s="178"/>
      <c r="G273" s="179"/>
      <c r="H273" s="176"/>
      <c r="I273" s="176"/>
      <c r="J273" s="176"/>
      <c r="K273" s="176"/>
      <c r="L273" s="176"/>
      <c r="M273" s="176"/>
      <c r="N273" s="176"/>
      <c r="O273" s="176"/>
      <c r="P273" s="176"/>
      <c r="Q273" s="176"/>
      <c r="R273" s="176"/>
      <c r="S273" s="176"/>
      <c r="T273" s="176"/>
      <c r="U273" s="176"/>
      <c r="V273" s="176"/>
      <c r="W273" s="176"/>
      <c r="X273" s="176"/>
      <c r="Y273" s="62"/>
      <c r="Z273" s="62"/>
      <c r="AA273" s="62"/>
      <c r="AB273" s="62"/>
      <c r="AC273" s="62"/>
      <c r="AD273" s="62"/>
      <c r="AE273" s="62"/>
      <c r="AF273" s="62"/>
      <c r="AG273" s="62"/>
      <c r="AH273" s="62"/>
      <c r="AI273" s="62"/>
      <c r="AJ273" s="62"/>
      <c r="AK273" s="62"/>
    </row>
    <row r="274" spans="1:37" ht="30" customHeight="1" x14ac:dyDescent="0.2">
      <c r="A274" s="182"/>
      <c r="B274" s="182"/>
      <c r="C274" s="182"/>
      <c r="D274" s="182"/>
      <c r="E274" s="177"/>
      <c r="F274" s="178"/>
      <c r="G274" s="179"/>
      <c r="H274" s="176"/>
      <c r="I274" s="176"/>
      <c r="J274" s="176"/>
      <c r="K274" s="176"/>
      <c r="L274" s="176"/>
      <c r="M274" s="176"/>
      <c r="N274" s="176"/>
      <c r="O274" s="176"/>
      <c r="P274" s="176"/>
      <c r="Q274" s="176"/>
      <c r="R274" s="176"/>
      <c r="S274" s="176"/>
      <c r="T274" s="176"/>
      <c r="U274" s="176"/>
      <c r="V274" s="176"/>
      <c r="W274" s="176"/>
      <c r="X274" s="176"/>
      <c r="Y274" s="62"/>
      <c r="Z274" s="62"/>
      <c r="AA274" s="62"/>
      <c r="AB274" s="62"/>
      <c r="AC274" s="62"/>
      <c r="AD274" s="62"/>
      <c r="AE274" s="62"/>
      <c r="AF274" s="62"/>
      <c r="AG274" s="62"/>
      <c r="AH274" s="62"/>
      <c r="AI274" s="62"/>
      <c r="AJ274" s="62"/>
      <c r="AK274" s="62"/>
    </row>
    <row r="275" spans="1:37" ht="30" customHeight="1" x14ac:dyDescent="0.2">
      <c r="A275" s="182"/>
      <c r="B275" s="182"/>
      <c r="C275" s="182"/>
      <c r="D275" s="182"/>
      <c r="E275" s="177"/>
      <c r="F275" s="178"/>
      <c r="G275" s="179"/>
      <c r="H275" s="176"/>
      <c r="I275" s="176"/>
      <c r="J275" s="176"/>
      <c r="K275" s="176"/>
      <c r="L275" s="176"/>
      <c r="M275" s="176"/>
      <c r="N275" s="176"/>
      <c r="O275" s="176"/>
      <c r="P275" s="176"/>
      <c r="Q275" s="176"/>
      <c r="R275" s="176"/>
      <c r="S275" s="176"/>
      <c r="T275" s="176"/>
      <c r="U275" s="176"/>
      <c r="V275" s="176"/>
      <c r="W275" s="176"/>
      <c r="X275" s="176"/>
      <c r="Y275" s="62"/>
      <c r="Z275" s="62"/>
      <c r="AA275" s="62"/>
      <c r="AB275" s="62"/>
      <c r="AC275" s="62"/>
      <c r="AD275" s="62"/>
      <c r="AE275" s="62"/>
      <c r="AF275" s="62"/>
      <c r="AG275" s="62"/>
      <c r="AH275" s="62"/>
      <c r="AI275" s="62"/>
      <c r="AJ275" s="62"/>
      <c r="AK275" s="62"/>
    </row>
    <row r="276" spans="1:37" ht="30" customHeight="1" x14ac:dyDescent="0.2">
      <c r="A276" s="182"/>
      <c r="B276" s="182"/>
      <c r="C276" s="182"/>
      <c r="D276" s="182"/>
      <c r="E276" s="177"/>
      <c r="F276" s="178"/>
      <c r="G276" s="179"/>
      <c r="H276" s="176"/>
      <c r="I276" s="176"/>
      <c r="J276" s="176"/>
      <c r="K276" s="176"/>
      <c r="L276" s="176"/>
      <c r="M276" s="176"/>
      <c r="N276" s="176"/>
      <c r="O276" s="176"/>
      <c r="P276" s="176"/>
      <c r="Q276" s="176"/>
      <c r="R276" s="176"/>
      <c r="S276" s="176"/>
      <c r="T276" s="176"/>
      <c r="U276" s="176"/>
      <c r="V276" s="176"/>
      <c r="W276" s="176"/>
      <c r="X276" s="176"/>
      <c r="Y276" s="62"/>
      <c r="Z276" s="62"/>
      <c r="AA276" s="62"/>
      <c r="AB276" s="62"/>
      <c r="AC276" s="62"/>
      <c r="AD276" s="62"/>
      <c r="AE276" s="62"/>
      <c r="AF276" s="62"/>
      <c r="AG276" s="62"/>
      <c r="AH276" s="62"/>
      <c r="AI276" s="62"/>
      <c r="AJ276" s="62"/>
      <c r="AK276" s="62"/>
    </row>
    <row r="277" spans="1:37" ht="30" customHeight="1" x14ac:dyDescent="0.2">
      <c r="A277" s="182"/>
      <c r="B277" s="182"/>
      <c r="C277" s="182"/>
      <c r="D277" s="182"/>
      <c r="E277" s="177"/>
      <c r="F277" s="178"/>
      <c r="G277" s="179"/>
      <c r="H277" s="176"/>
      <c r="I277" s="176"/>
      <c r="J277" s="176"/>
      <c r="K277" s="176"/>
      <c r="L277" s="176"/>
      <c r="M277" s="176"/>
      <c r="N277" s="176"/>
      <c r="O277" s="176"/>
      <c r="P277" s="176"/>
      <c r="Q277" s="176"/>
      <c r="R277" s="176"/>
      <c r="S277" s="176"/>
      <c r="T277" s="176"/>
      <c r="U277" s="176"/>
      <c r="V277" s="176"/>
      <c r="W277" s="176"/>
      <c r="X277" s="176"/>
      <c r="Y277" s="62"/>
      <c r="Z277" s="62"/>
      <c r="AA277" s="62"/>
      <c r="AB277" s="62"/>
      <c r="AC277" s="62"/>
      <c r="AD277" s="62"/>
      <c r="AE277" s="62"/>
      <c r="AF277" s="62"/>
      <c r="AG277" s="62"/>
      <c r="AH277" s="62"/>
      <c r="AI277" s="62"/>
      <c r="AJ277" s="62"/>
      <c r="AK277" s="62"/>
    </row>
    <row r="278" spans="1:37" ht="30" customHeight="1" x14ac:dyDescent="0.2">
      <c r="A278" s="182"/>
      <c r="B278" s="182"/>
      <c r="C278" s="182"/>
      <c r="D278" s="182"/>
      <c r="E278" s="177"/>
      <c r="F278" s="178"/>
      <c r="G278" s="179"/>
      <c r="H278" s="176"/>
      <c r="I278" s="176"/>
      <c r="J278" s="176"/>
      <c r="K278" s="176"/>
      <c r="L278" s="176"/>
      <c r="M278" s="176"/>
      <c r="N278" s="176"/>
      <c r="O278" s="176"/>
      <c r="P278" s="176"/>
      <c r="Q278" s="176"/>
      <c r="R278" s="176"/>
      <c r="S278" s="176"/>
      <c r="T278" s="176"/>
      <c r="U278" s="176"/>
      <c r="V278" s="176"/>
      <c r="W278" s="176"/>
      <c r="X278" s="176"/>
      <c r="Y278" s="62"/>
      <c r="Z278" s="62"/>
      <c r="AA278" s="62"/>
      <c r="AB278" s="62"/>
      <c r="AC278" s="62"/>
      <c r="AD278" s="62"/>
      <c r="AE278" s="62"/>
      <c r="AF278" s="62"/>
      <c r="AG278" s="62"/>
      <c r="AH278" s="62"/>
      <c r="AI278" s="62"/>
      <c r="AJ278" s="62"/>
      <c r="AK278" s="62"/>
    </row>
    <row r="279" spans="1:37" ht="30" customHeight="1" x14ac:dyDescent="0.2">
      <c r="A279" s="182"/>
      <c r="B279" s="182"/>
      <c r="C279" s="182"/>
      <c r="D279" s="182"/>
      <c r="E279" s="177"/>
      <c r="F279" s="178"/>
      <c r="G279" s="179"/>
      <c r="H279" s="176"/>
      <c r="I279" s="176"/>
      <c r="J279" s="176"/>
      <c r="K279" s="176"/>
      <c r="L279" s="176"/>
      <c r="M279" s="176"/>
      <c r="N279" s="176"/>
      <c r="O279" s="176"/>
      <c r="P279" s="176"/>
      <c r="Q279" s="176"/>
      <c r="R279" s="176"/>
      <c r="S279" s="176"/>
      <c r="T279" s="176"/>
      <c r="U279" s="176"/>
      <c r="V279" s="176"/>
      <c r="W279" s="176"/>
      <c r="X279" s="176"/>
      <c r="Y279" s="62"/>
      <c r="Z279" s="62"/>
      <c r="AA279" s="62"/>
      <c r="AB279" s="62"/>
      <c r="AC279" s="62"/>
      <c r="AD279" s="62"/>
      <c r="AE279" s="62"/>
      <c r="AF279" s="62"/>
      <c r="AG279" s="62"/>
      <c r="AH279" s="62"/>
      <c r="AI279" s="62"/>
      <c r="AJ279" s="62"/>
      <c r="AK279" s="62"/>
    </row>
    <row r="280" spans="1:37" ht="30" customHeight="1" x14ac:dyDescent="0.2">
      <c r="A280" s="182"/>
      <c r="B280" s="182"/>
      <c r="C280" s="182"/>
      <c r="D280" s="182"/>
      <c r="E280" s="177"/>
      <c r="F280" s="178"/>
      <c r="G280" s="179"/>
      <c r="H280" s="176"/>
      <c r="I280" s="176"/>
      <c r="J280" s="176"/>
      <c r="K280" s="176"/>
      <c r="L280" s="176"/>
      <c r="M280" s="176"/>
      <c r="N280" s="176"/>
      <c r="O280" s="176"/>
      <c r="P280" s="176"/>
      <c r="Q280" s="176"/>
      <c r="R280" s="176"/>
      <c r="S280" s="176"/>
      <c r="T280" s="176"/>
      <c r="U280" s="176"/>
      <c r="V280" s="176"/>
      <c r="W280" s="176"/>
      <c r="X280" s="176"/>
      <c r="Y280" s="62"/>
      <c r="Z280" s="62"/>
      <c r="AA280" s="62"/>
      <c r="AB280" s="62"/>
      <c r="AC280" s="62"/>
      <c r="AD280" s="62"/>
      <c r="AE280" s="62"/>
      <c r="AF280" s="62"/>
      <c r="AG280" s="62"/>
      <c r="AH280" s="62"/>
      <c r="AI280" s="62"/>
      <c r="AJ280" s="62"/>
      <c r="AK280" s="62"/>
    </row>
    <row r="281" spans="1:37" ht="30" customHeight="1" x14ac:dyDescent="0.2">
      <c r="A281" s="182"/>
      <c r="B281" s="182"/>
      <c r="C281" s="182"/>
      <c r="D281" s="182"/>
      <c r="E281" s="177"/>
      <c r="F281" s="178"/>
      <c r="G281" s="179"/>
      <c r="H281" s="176"/>
      <c r="I281" s="176"/>
      <c r="J281" s="176"/>
      <c r="K281" s="176"/>
      <c r="L281" s="176"/>
      <c r="M281" s="176"/>
      <c r="N281" s="176"/>
      <c r="O281" s="176"/>
      <c r="P281" s="176"/>
      <c r="Q281" s="176"/>
      <c r="R281" s="176"/>
      <c r="S281" s="176"/>
      <c r="T281" s="176"/>
      <c r="U281" s="176"/>
      <c r="V281" s="176"/>
      <c r="W281" s="176"/>
      <c r="X281" s="176"/>
      <c r="Y281" s="62"/>
      <c r="Z281" s="62"/>
      <c r="AA281" s="62"/>
      <c r="AB281" s="62"/>
      <c r="AC281" s="62"/>
      <c r="AD281" s="62"/>
      <c r="AE281" s="62"/>
      <c r="AF281" s="62"/>
      <c r="AG281" s="62"/>
      <c r="AH281" s="62"/>
      <c r="AI281" s="62"/>
      <c r="AJ281" s="62"/>
      <c r="AK281" s="62"/>
    </row>
    <row r="282" spans="1:37" ht="30" customHeight="1" x14ac:dyDescent="0.2">
      <c r="A282" s="182"/>
      <c r="B282" s="182"/>
      <c r="C282" s="182"/>
      <c r="D282" s="182"/>
      <c r="E282" s="177"/>
      <c r="F282" s="178"/>
      <c r="G282" s="179"/>
      <c r="H282" s="176"/>
      <c r="I282" s="176"/>
      <c r="J282" s="176"/>
      <c r="K282" s="176"/>
      <c r="L282" s="176"/>
      <c r="M282" s="176"/>
      <c r="N282" s="176"/>
      <c r="O282" s="176"/>
      <c r="P282" s="176"/>
      <c r="Q282" s="176"/>
      <c r="R282" s="176"/>
      <c r="S282" s="176"/>
      <c r="T282" s="176"/>
      <c r="U282" s="176"/>
      <c r="V282" s="176"/>
      <c r="W282" s="176"/>
      <c r="X282" s="176"/>
      <c r="Y282" s="62"/>
      <c r="Z282" s="62"/>
      <c r="AA282" s="62"/>
      <c r="AB282" s="62"/>
      <c r="AC282" s="62"/>
      <c r="AD282" s="62"/>
      <c r="AE282" s="62"/>
      <c r="AF282" s="62"/>
      <c r="AG282" s="62"/>
      <c r="AH282" s="62"/>
      <c r="AI282" s="62"/>
      <c r="AJ282" s="62"/>
      <c r="AK282" s="62"/>
    </row>
    <row r="283" spans="1:37" ht="30" customHeight="1" x14ac:dyDescent="0.2">
      <c r="A283" s="182"/>
      <c r="B283" s="182"/>
      <c r="C283" s="182"/>
      <c r="D283" s="182"/>
      <c r="E283" s="177"/>
      <c r="F283" s="178"/>
      <c r="G283" s="179"/>
      <c r="H283" s="176"/>
      <c r="I283" s="176"/>
      <c r="J283" s="176"/>
      <c r="K283" s="176"/>
      <c r="L283" s="176"/>
      <c r="M283" s="176"/>
      <c r="N283" s="176"/>
      <c r="O283" s="176"/>
      <c r="P283" s="176"/>
      <c r="Q283" s="176"/>
      <c r="R283" s="176"/>
      <c r="S283" s="176"/>
      <c r="T283" s="176"/>
      <c r="U283" s="176"/>
      <c r="V283" s="176"/>
      <c r="W283" s="176"/>
      <c r="X283" s="176"/>
      <c r="Y283" s="62"/>
      <c r="Z283" s="62"/>
      <c r="AA283" s="62"/>
      <c r="AB283" s="62"/>
      <c r="AC283" s="62"/>
      <c r="AD283" s="62"/>
      <c r="AE283" s="62"/>
      <c r="AF283" s="62"/>
      <c r="AG283" s="62"/>
      <c r="AH283" s="62"/>
      <c r="AI283" s="62"/>
      <c r="AJ283" s="62"/>
      <c r="AK283" s="62"/>
    </row>
    <row r="284" spans="1:37" ht="30" customHeight="1" x14ac:dyDescent="0.2">
      <c r="A284" s="182"/>
      <c r="B284" s="182"/>
      <c r="C284" s="182"/>
      <c r="D284" s="182"/>
      <c r="E284" s="177"/>
      <c r="F284" s="178"/>
      <c r="G284" s="179"/>
      <c r="H284" s="176"/>
      <c r="I284" s="176"/>
      <c r="J284" s="176"/>
      <c r="K284" s="176"/>
      <c r="L284" s="176"/>
      <c r="M284" s="176"/>
      <c r="N284" s="176"/>
      <c r="O284" s="176"/>
      <c r="P284" s="176"/>
      <c r="Q284" s="176"/>
      <c r="R284" s="176"/>
      <c r="S284" s="176"/>
      <c r="T284" s="176"/>
      <c r="U284" s="176"/>
      <c r="V284" s="176"/>
      <c r="W284" s="176"/>
      <c r="X284" s="176"/>
      <c r="Y284" s="62"/>
      <c r="Z284" s="62"/>
      <c r="AA284" s="62"/>
      <c r="AB284" s="62"/>
      <c r="AC284" s="62"/>
      <c r="AD284" s="62"/>
      <c r="AE284" s="62"/>
      <c r="AF284" s="62"/>
      <c r="AG284" s="62"/>
      <c r="AH284" s="62"/>
      <c r="AI284" s="62"/>
      <c r="AJ284" s="62"/>
      <c r="AK284" s="62"/>
    </row>
    <row r="285" spans="1:37" ht="30" customHeight="1" x14ac:dyDescent="0.2">
      <c r="A285" s="182"/>
      <c r="B285" s="182"/>
      <c r="C285" s="182"/>
      <c r="D285" s="182"/>
      <c r="E285" s="177"/>
      <c r="F285" s="178"/>
      <c r="G285" s="179"/>
      <c r="H285" s="176"/>
      <c r="I285" s="176"/>
      <c r="J285" s="176"/>
      <c r="K285" s="176"/>
      <c r="L285" s="176"/>
      <c r="M285" s="176"/>
      <c r="N285" s="176"/>
      <c r="O285" s="176"/>
      <c r="P285" s="176"/>
      <c r="Q285" s="176"/>
      <c r="R285" s="176"/>
      <c r="S285" s="176"/>
      <c r="T285" s="176"/>
      <c r="U285" s="176"/>
      <c r="V285" s="176"/>
      <c r="W285" s="176"/>
      <c r="X285" s="176"/>
      <c r="Y285" s="62"/>
      <c r="Z285" s="62"/>
      <c r="AA285" s="62"/>
      <c r="AB285" s="62"/>
      <c r="AC285" s="62"/>
      <c r="AD285" s="62"/>
      <c r="AE285" s="62"/>
      <c r="AF285" s="62"/>
      <c r="AG285" s="62"/>
      <c r="AH285" s="62"/>
      <c r="AI285" s="62"/>
      <c r="AJ285" s="62"/>
      <c r="AK285" s="62"/>
    </row>
    <row r="286" spans="1:37" ht="30" customHeight="1" x14ac:dyDescent="0.2">
      <c r="A286" s="182"/>
      <c r="B286" s="182"/>
      <c r="C286" s="182"/>
      <c r="D286" s="182"/>
      <c r="E286" s="177"/>
      <c r="F286" s="178"/>
      <c r="G286" s="179"/>
      <c r="H286" s="176"/>
      <c r="I286" s="176"/>
      <c r="J286" s="176"/>
      <c r="K286" s="176"/>
      <c r="L286" s="176"/>
      <c r="M286" s="176"/>
      <c r="N286" s="176"/>
      <c r="O286" s="176"/>
      <c r="P286" s="176"/>
      <c r="Q286" s="176"/>
      <c r="R286" s="176"/>
      <c r="S286" s="176"/>
      <c r="T286" s="176"/>
      <c r="U286" s="176"/>
      <c r="V286" s="176"/>
      <c r="W286" s="176"/>
      <c r="X286" s="176"/>
      <c r="Y286" s="62"/>
      <c r="Z286" s="62"/>
      <c r="AA286" s="62"/>
      <c r="AB286" s="62"/>
      <c r="AC286" s="62"/>
      <c r="AD286" s="62"/>
      <c r="AE286" s="62"/>
      <c r="AF286" s="62"/>
      <c r="AG286" s="62"/>
      <c r="AH286" s="62"/>
      <c r="AI286" s="62"/>
      <c r="AJ286" s="62"/>
      <c r="AK286" s="62"/>
    </row>
    <row r="287" spans="1:37" ht="30" customHeight="1" x14ac:dyDescent="0.2">
      <c r="A287" s="182"/>
      <c r="B287" s="182"/>
      <c r="C287" s="182"/>
      <c r="D287" s="182"/>
      <c r="E287" s="177"/>
      <c r="F287" s="178"/>
      <c r="G287" s="179"/>
      <c r="H287" s="176"/>
      <c r="I287" s="176"/>
      <c r="J287" s="176"/>
      <c r="K287" s="176"/>
      <c r="L287" s="176"/>
      <c r="M287" s="176"/>
      <c r="N287" s="176"/>
      <c r="O287" s="176"/>
      <c r="P287" s="176"/>
      <c r="Q287" s="176"/>
      <c r="R287" s="176"/>
      <c r="S287" s="176"/>
      <c r="T287" s="176"/>
      <c r="U287" s="176"/>
      <c r="V287" s="176"/>
      <c r="W287" s="176"/>
      <c r="X287" s="176"/>
      <c r="Y287" s="62"/>
      <c r="Z287" s="62"/>
      <c r="AA287" s="62"/>
      <c r="AB287" s="62"/>
      <c r="AC287" s="62"/>
      <c r="AD287" s="62"/>
      <c r="AE287" s="62"/>
      <c r="AF287" s="62"/>
      <c r="AG287" s="62"/>
      <c r="AH287" s="62"/>
      <c r="AI287" s="62"/>
      <c r="AJ287" s="62"/>
      <c r="AK287" s="62"/>
    </row>
    <row r="288" spans="1:37" ht="30" customHeight="1" x14ac:dyDescent="0.2">
      <c r="A288" s="182"/>
      <c r="B288" s="182"/>
      <c r="C288" s="182"/>
      <c r="D288" s="182"/>
      <c r="E288" s="177"/>
      <c r="F288" s="178"/>
      <c r="G288" s="179"/>
      <c r="H288" s="176"/>
      <c r="I288" s="176"/>
      <c r="J288" s="176"/>
      <c r="K288" s="176"/>
      <c r="L288" s="176"/>
      <c r="M288" s="176"/>
      <c r="N288" s="176"/>
      <c r="O288" s="176"/>
      <c r="P288" s="176"/>
      <c r="Q288" s="176"/>
      <c r="R288" s="176"/>
      <c r="S288" s="176"/>
      <c r="T288" s="176"/>
      <c r="U288" s="176"/>
      <c r="V288" s="176"/>
      <c r="W288" s="176"/>
      <c r="X288" s="176"/>
      <c r="Y288" s="62"/>
      <c r="Z288" s="62"/>
      <c r="AA288" s="62"/>
      <c r="AB288" s="62"/>
      <c r="AC288" s="62"/>
      <c r="AD288" s="62"/>
      <c r="AE288" s="62"/>
      <c r="AF288" s="62"/>
      <c r="AG288" s="62"/>
      <c r="AH288" s="62"/>
      <c r="AI288" s="62"/>
      <c r="AJ288" s="62"/>
      <c r="AK288" s="62"/>
    </row>
    <row r="289" spans="1:37" ht="30" customHeight="1" x14ac:dyDescent="0.2">
      <c r="A289" s="182"/>
      <c r="B289" s="182"/>
      <c r="C289" s="182"/>
      <c r="D289" s="182"/>
      <c r="E289" s="177"/>
      <c r="F289" s="178"/>
      <c r="G289" s="179"/>
      <c r="H289" s="176"/>
      <c r="I289" s="176"/>
      <c r="J289" s="176"/>
      <c r="K289" s="176"/>
      <c r="L289" s="176"/>
      <c r="M289" s="176"/>
      <c r="N289" s="176"/>
      <c r="O289" s="176"/>
      <c r="P289" s="176"/>
      <c r="Q289" s="176"/>
      <c r="R289" s="176"/>
      <c r="S289" s="176"/>
      <c r="T289" s="176"/>
      <c r="U289" s="176"/>
      <c r="V289" s="176"/>
      <c r="W289" s="176"/>
      <c r="X289" s="176"/>
      <c r="Y289" s="62"/>
      <c r="Z289" s="62"/>
      <c r="AA289" s="62"/>
      <c r="AB289" s="62"/>
      <c r="AC289" s="62"/>
      <c r="AD289" s="62"/>
      <c r="AE289" s="62"/>
      <c r="AF289" s="62"/>
      <c r="AG289" s="62"/>
      <c r="AH289" s="62"/>
      <c r="AI289" s="62"/>
      <c r="AJ289" s="62"/>
      <c r="AK289" s="62"/>
    </row>
    <row r="290" spans="1:37" ht="30" customHeight="1" x14ac:dyDescent="0.2">
      <c r="A290" s="182"/>
      <c r="B290" s="182"/>
      <c r="C290" s="182"/>
      <c r="D290" s="182"/>
      <c r="E290" s="177"/>
      <c r="F290" s="178"/>
      <c r="G290" s="179"/>
      <c r="H290" s="176"/>
      <c r="I290" s="176"/>
      <c r="J290" s="176"/>
      <c r="K290" s="176"/>
      <c r="L290" s="176"/>
      <c r="M290" s="176"/>
      <c r="N290" s="176"/>
      <c r="O290" s="176"/>
      <c r="P290" s="176"/>
      <c r="Q290" s="176"/>
      <c r="R290" s="176"/>
      <c r="S290" s="176"/>
      <c r="T290" s="176"/>
      <c r="U290" s="176"/>
      <c r="V290" s="176"/>
      <c r="W290" s="176"/>
      <c r="X290" s="176"/>
      <c r="Y290" s="62"/>
      <c r="Z290" s="62"/>
      <c r="AA290" s="62"/>
      <c r="AB290" s="62"/>
      <c r="AC290" s="62"/>
      <c r="AD290" s="62"/>
      <c r="AE290" s="62"/>
      <c r="AF290" s="62"/>
      <c r="AG290" s="62"/>
      <c r="AH290" s="62"/>
      <c r="AI290" s="62"/>
      <c r="AJ290" s="62"/>
      <c r="AK290" s="62"/>
    </row>
    <row r="291" spans="1:37" ht="30" customHeight="1" x14ac:dyDescent="0.2">
      <c r="A291" s="182"/>
      <c r="B291" s="182"/>
      <c r="C291" s="182"/>
      <c r="D291" s="182"/>
      <c r="E291" s="177"/>
      <c r="F291" s="178"/>
      <c r="G291" s="179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62"/>
      <c r="Z291" s="62"/>
      <c r="AA291" s="62"/>
      <c r="AB291" s="62"/>
      <c r="AC291" s="62"/>
      <c r="AD291" s="62"/>
      <c r="AE291" s="62"/>
      <c r="AF291" s="62"/>
      <c r="AG291" s="62"/>
      <c r="AH291" s="62"/>
      <c r="AI291" s="62"/>
      <c r="AJ291" s="62"/>
      <c r="AK291" s="62"/>
    </row>
    <row r="292" spans="1:37" ht="30" customHeight="1" x14ac:dyDescent="0.2">
      <c r="A292" s="182"/>
      <c r="B292" s="182"/>
      <c r="C292" s="182"/>
      <c r="D292" s="182"/>
      <c r="E292" s="177"/>
      <c r="F292" s="178"/>
      <c r="G292" s="179"/>
      <c r="H292" s="176"/>
      <c r="I292" s="176"/>
      <c r="J292" s="176"/>
      <c r="K292" s="176"/>
      <c r="L292" s="176"/>
      <c r="M292" s="176"/>
      <c r="N292" s="176"/>
      <c r="O292" s="176"/>
      <c r="P292" s="176"/>
      <c r="Q292" s="176"/>
      <c r="R292" s="176"/>
      <c r="S292" s="176"/>
      <c r="T292" s="176"/>
      <c r="U292" s="176"/>
      <c r="V292" s="176"/>
      <c r="W292" s="176"/>
      <c r="X292" s="176"/>
      <c r="Y292" s="62"/>
      <c r="Z292" s="62"/>
      <c r="AA292" s="62"/>
      <c r="AB292" s="62"/>
      <c r="AC292" s="62"/>
      <c r="AD292" s="62"/>
      <c r="AE292" s="62"/>
      <c r="AF292" s="62"/>
      <c r="AG292" s="62"/>
      <c r="AH292" s="62"/>
      <c r="AI292" s="62"/>
      <c r="AJ292" s="62"/>
      <c r="AK292" s="62"/>
    </row>
    <row r="293" spans="1:37" ht="30" customHeight="1" x14ac:dyDescent="0.2">
      <c r="A293" s="182"/>
      <c r="B293" s="182"/>
      <c r="C293" s="182"/>
      <c r="D293" s="182"/>
      <c r="E293" s="177"/>
      <c r="F293" s="178"/>
      <c r="G293" s="179"/>
      <c r="H293" s="176"/>
      <c r="I293" s="176"/>
      <c r="J293" s="176"/>
      <c r="K293" s="176"/>
      <c r="L293" s="176"/>
      <c r="M293" s="176"/>
      <c r="N293" s="176"/>
      <c r="O293" s="176"/>
      <c r="P293" s="176"/>
      <c r="Q293" s="176"/>
      <c r="R293" s="176"/>
      <c r="S293" s="176"/>
      <c r="T293" s="176"/>
      <c r="U293" s="176"/>
      <c r="V293" s="176"/>
      <c r="W293" s="176"/>
      <c r="X293" s="176"/>
      <c r="Y293" s="62"/>
      <c r="Z293" s="62"/>
      <c r="AA293" s="62"/>
      <c r="AB293" s="62"/>
      <c r="AC293" s="62"/>
      <c r="AD293" s="62"/>
      <c r="AE293" s="62"/>
      <c r="AF293" s="62"/>
      <c r="AG293" s="62"/>
      <c r="AH293" s="62"/>
      <c r="AI293" s="62"/>
      <c r="AJ293" s="62"/>
      <c r="AK293" s="62"/>
    </row>
    <row r="294" spans="1:37" ht="30" customHeight="1" x14ac:dyDescent="0.2">
      <c r="A294" s="182"/>
      <c r="B294" s="182"/>
      <c r="C294" s="182"/>
      <c r="D294" s="182"/>
      <c r="E294" s="177"/>
      <c r="F294" s="178"/>
      <c r="G294" s="179"/>
      <c r="H294" s="176"/>
      <c r="I294" s="176"/>
      <c r="J294" s="176"/>
      <c r="K294" s="176"/>
      <c r="L294" s="176"/>
      <c r="M294" s="176"/>
      <c r="N294" s="176"/>
      <c r="O294" s="176"/>
      <c r="P294" s="176"/>
      <c r="Q294" s="176"/>
      <c r="R294" s="176"/>
      <c r="S294" s="176"/>
      <c r="T294" s="176"/>
      <c r="U294" s="176"/>
      <c r="V294" s="176"/>
      <c r="W294" s="176"/>
      <c r="X294" s="176"/>
      <c r="Y294" s="62"/>
      <c r="Z294" s="62"/>
      <c r="AA294" s="62"/>
      <c r="AB294" s="62"/>
      <c r="AC294" s="62"/>
      <c r="AD294" s="62"/>
      <c r="AE294" s="62"/>
      <c r="AF294" s="62"/>
      <c r="AG294" s="62"/>
      <c r="AH294" s="62"/>
      <c r="AI294" s="62"/>
      <c r="AJ294" s="62"/>
      <c r="AK294" s="62"/>
    </row>
    <row r="295" spans="1:37" ht="30" customHeight="1" x14ac:dyDescent="0.2">
      <c r="A295" s="182"/>
      <c r="B295" s="182"/>
      <c r="C295" s="182"/>
      <c r="D295" s="182"/>
      <c r="E295" s="177"/>
      <c r="F295" s="178"/>
      <c r="G295" s="179"/>
      <c r="H295" s="176"/>
      <c r="I295" s="176"/>
      <c r="J295" s="176"/>
      <c r="K295" s="176"/>
      <c r="L295" s="176"/>
      <c r="M295" s="176"/>
      <c r="N295" s="176"/>
      <c r="O295" s="176"/>
      <c r="P295" s="176"/>
      <c r="Q295" s="176"/>
      <c r="R295" s="176"/>
      <c r="S295" s="176"/>
      <c r="T295" s="176"/>
      <c r="U295" s="176"/>
      <c r="V295" s="176"/>
      <c r="W295" s="176"/>
      <c r="X295" s="176"/>
      <c r="Y295" s="62"/>
      <c r="Z295" s="62"/>
      <c r="AA295" s="62"/>
      <c r="AB295" s="62"/>
      <c r="AC295" s="62"/>
      <c r="AD295" s="62"/>
      <c r="AE295" s="62"/>
      <c r="AF295" s="62"/>
      <c r="AG295" s="62"/>
      <c r="AH295" s="62"/>
      <c r="AI295" s="62"/>
      <c r="AJ295" s="62"/>
      <c r="AK295" s="62"/>
    </row>
    <row r="296" spans="1:37" ht="30" customHeight="1" x14ac:dyDescent="0.2">
      <c r="A296" s="182"/>
      <c r="B296" s="182"/>
      <c r="C296" s="182"/>
      <c r="D296" s="182"/>
      <c r="E296" s="177"/>
      <c r="F296" s="178"/>
      <c r="G296" s="179"/>
      <c r="H296" s="176"/>
      <c r="I296" s="176"/>
      <c r="J296" s="176"/>
      <c r="K296" s="176"/>
      <c r="L296" s="176"/>
      <c r="M296" s="176"/>
      <c r="N296" s="176"/>
      <c r="O296" s="176"/>
      <c r="P296" s="176"/>
      <c r="Q296" s="176"/>
      <c r="R296" s="176"/>
      <c r="S296" s="176"/>
      <c r="T296" s="176"/>
      <c r="U296" s="176"/>
      <c r="V296" s="176"/>
      <c r="W296" s="176"/>
      <c r="X296" s="176"/>
      <c r="Y296" s="62"/>
      <c r="Z296" s="62"/>
      <c r="AA296" s="62"/>
      <c r="AB296" s="62"/>
      <c r="AC296" s="62"/>
      <c r="AD296" s="62"/>
      <c r="AE296" s="62"/>
      <c r="AF296" s="62"/>
      <c r="AG296" s="62"/>
      <c r="AH296" s="62"/>
      <c r="AI296" s="62"/>
      <c r="AJ296" s="62"/>
      <c r="AK296" s="62"/>
    </row>
    <row r="297" spans="1:37" ht="30" customHeight="1" x14ac:dyDescent="0.2">
      <c r="A297" s="182"/>
      <c r="B297" s="182"/>
      <c r="C297" s="182"/>
      <c r="D297" s="182"/>
      <c r="E297" s="177"/>
      <c r="F297" s="178"/>
      <c r="G297" s="179"/>
      <c r="H297" s="176"/>
      <c r="I297" s="176"/>
      <c r="J297" s="176"/>
      <c r="K297" s="176"/>
      <c r="L297" s="176"/>
      <c r="M297" s="176"/>
      <c r="N297" s="176"/>
      <c r="O297" s="176"/>
      <c r="P297" s="176"/>
      <c r="Q297" s="176"/>
      <c r="R297" s="176"/>
      <c r="S297" s="176"/>
      <c r="T297" s="176"/>
      <c r="U297" s="176"/>
      <c r="V297" s="176"/>
      <c r="W297" s="176"/>
      <c r="X297" s="176"/>
      <c r="Y297" s="62"/>
      <c r="Z297" s="62"/>
      <c r="AA297" s="62"/>
      <c r="AB297" s="62"/>
      <c r="AC297" s="62"/>
      <c r="AD297" s="62"/>
      <c r="AE297" s="62"/>
      <c r="AF297" s="62"/>
      <c r="AG297" s="62"/>
      <c r="AH297" s="62"/>
      <c r="AI297" s="62"/>
      <c r="AJ297" s="62"/>
      <c r="AK297" s="62"/>
    </row>
    <row r="298" spans="1:37" ht="30" customHeight="1" x14ac:dyDescent="0.2">
      <c r="A298" s="182"/>
      <c r="B298" s="182"/>
      <c r="C298" s="182"/>
      <c r="D298" s="182"/>
      <c r="E298" s="177"/>
      <c r="F298" s="178"/>
      <c r="G298" s="179"/>
      <c r="H298" s="176"/>
      <c r="I298" s="176"/>
      <c r="J298" s="176"/>
      <c r="K298" s="176"/>
      <c r="L298" s="176"/>
      <c r="M298" s="176"/>
      <c r="N298" s="176"/>
      <c r="O298" s="176"/>
      <c r="P298" s="176"/>
      <c r="Q298" s="176"/>
      <c r="R298" s="176"/>
      <c r="S298" s="176"/>
      <c r="T298" s="176"/>
      <c r="U298" s="176"/>
      <c r="V298" s="176"/>
      <c r="W298" s="176"/>
      <c r="X298" s="176"/>
      <c r="Y298" s="62"/>
      <c r="Z298" s="62"/>
      <c r="AA298" s="62"/>
      <c r="AB298" s="62"/>
      <c r="AC298" s="62"/>
      <c r="AD298" s="62"/>
      <c r="AE298" s="62"/>
      <c r="AF298" s="62"/>
      <c r="AG298" s="62"/>
      <c r="AH298" s="62"/>
      <c r="AI298" s="62"/>
      <c r="AJ298" s="62"/>
      <c r="AK298" s="62"/>
    </row>
    <row r="299" spans="1:37" ht="30" customHeight="1" x14ac:dyDescent="0.2">
      <c r="A299" s="182"/>
      <c r="B299" s="182"/>
      <c r="C299" s="182"/>
      <c r="D299" s="182"/>
      <c r="E299" s="177"/>
      <c r="F299" s="178"/>
      <c r="G299" s="179"/>
      <c r="H299" s="176"/>
      <c r="I299" s="176"/>
      <c r="J299" s="176"/>
      <c r="K299" s="176"/>
      <c r="L299" s="176"/>
      <c r="M299" s="176"/>
      <c r="N299" s="176"/>
      <c r="O299" s="176"/>
      <c r="P299" s="176"/>
      <c r="Q299" s="176"/>
      <c r="R299" s="176"/>
      <c r="S299" s="176"/>
      <c r="T299" s="176"/>
      <c r="U299" s="176"/>
      <c r="V299" s="176"/>
      <c r="W299" s="176"/>
      <c r="X299" s="176"/>
      <c r="Y299" s="62"/>
      <c r="Z299" s="62"/>
      <c r="AA299" s="62"/>
      <c r="AB299" s="62"/>
      <c r="AC299" s="62"/>
      <c r="AD299" s="62"/>
      <c r="AE299" s="62"/>
      <c r="AF299" s="62"/>
      <c r="AG299" s="62"/>
      <c r="AH299" s="62"/>
      <c r="AI299" s="62"/>
      <c r="AJ299" s="62"/>
      <c r="AK299" s="62"/>
    </row>
    <row r="300" spans="1:37" ht="30" customHeight="1" x14ac:dyDescent="0.2">
      <c r="A300" s="182"/>
      <c r="B300" s="182"/>
      <c r="C300" s="182"/>
      <c r="D300" s="182"/>
      <c r="E300" s="177"/>
      <c r="F300" s="178"/>
      <c r="G300" s="179"/>
      <c r="H300" s="176"/>
      <c r="I300" s="176"/>
      <c r="J300" s="176"/>
      <c r="K300" s="176"/>
      <c r="L300" s="176"/>
      <c r="M300" s="176"/>
      <c r="N300" s="176"/>
      <c r="O300" s="176"/>
      <c r="P300" s="176"/>
      <c r="Q300" s="176"/>
      <c r="R300" s="176"/>
      <c r="S300" s="176"/>
      <c r="T300" s="176"/>
      <c r="U300" s="176"/>
      <c r="V300" s="176"/>
      <c r="W300" s="176"/>
      <c r="X300" s="176"/>
      <c r="Y300" s="62"/>
      <c r="Z300" s="62"/>
      <c r="AA300" s="62"/>
      <c r="AB300" s="62"/>
      <c r="AC300" s="62"/>
      <c r="AD300" s="62"/>
      <c r="AE300" s="62"/>
      <c r="AF300" s="62"/>
      <c r="AG300" s="62"/>
      <c r="AH300" s="62"/>
      <c r="AI300" s="62"/>
      <c r="AJ300" s="62"/>
      <c r="AK300" s="62"/>
    </row>
    <row r="301" spans="1:37" x14ac:dyDescent="0.2">
      <c r="A301" s="62"/>
      <c r="B301" s="62"/>
      <c r="C301" s="62"/>
      <c r="D301" s="62"/>
      <c r="E301" s="62"/>
      <c r="F301" s="62"/>
      <c r="G301" s="62"/>
      <c r="H301" s="62"/>
      <c r="I301" s="62"/>
      <c r="J301" s="62"/>
      <c r="K301" s="62"/>
      <c r="L301" s="62"/>
      <c r="M301" s="62"/>
      <c r="N301" s="62"/>
      <c r="O301" s="62"/>
      <c r="P301" s="62"/>
      <c r="Q301" s="62"/>
      <c r="R301" s="62"/>
      <c r="S301" s="62"/>
      <c r="T301" s="62"/>
      <c r="U301" s="62"/>
      <c r="V301" s="62"/>
      <c r="W301" s="62"/>
      <c r="X301" s="62"/>
      <c r="Y301" s="62"/>
      <c r="Z301" s="62"/>
      <c r="AA301" s="62"/>
      <c r="AB301" s="62"/>
      <c r="AC301" s="62"/>
      <c r="AD301" s="62"/>
      <c r="AE301" s="62"/>
      <c r="AF301" s="62"/>
      <c r="AG301" s="62"/>
      <c r="AH301" s="62"/>
      <c r="AI301" s="62"/>
      <c r="AJ301" s="62"/>
      <c r="AK301" s="62"/>
    </row>
    <row r="302" spans="1:37" x14ac:dyDescent="0.2">
      <c r="A302" s="62"/>
      <c r="B302" s="62"/>
      <c r="C302" s="62"/>
      <c r="D302" s="62"/>
      <c r="E302" s="62"/>
      <c r="F302" s="62"/>
      <c r="G302" s="62"/>
      <c r="H302" s="62"/>
      <c r="I302" s="62"/>
      <c r="J302" s="62"/>
      <c r="K302" s="62"/>
      <c r="L302" s="62"/>
      <c r="M302" s="62"/>
      <c r="N302" s="62"/>
      <c r="O302" s="62"/>
      <c r="P302" s="62"/>
      <c r="Q302" s="62"/>
      <c r="R302" s="62"/>
      <c r="S302" s="62"/>
      <c r="T302" s="62"/>
      <c r="U302" s="62"/>
      <c r="V302" s="62"/>
      <c r="W302" s="62"/>
      <c r="X302" s="62"/>
      <c r="Y302" s="62"/>
      <c r="Z302" s="62"/>
      <c r="AA302" s="62"/>
      <c r="AB302" s="62"/>
      <c r="AC302" s="62"/>
      <c r="AD302" s="62"/>
      <c r="AE302" s="62"/>
      <c r="AF302" s="62"/>
      <c r="AG302" s="62"/>
      <c r="AH302" s="62"/>
      <c r="AI302" s="62"/>
      <c r="AJ302" s="62"/>
      <c r="AK302" s="62"/>
    </row>
    <row r="303" spans="1:37" x14ac:dyDescent="0.2">
      <c r="A303" s="62"/>
      <c r="B303" s="62"/>
      <c r="C303" s="62"/>
      <c r="D303" s="62"/>
      <c r="E303" s="62"/>
      <c r="F303" s="62"/>
      <c r="G303" s="62"/>
      <c r="H303" s="62"/>
      <c r="I303" s="62"/>
      <c r="J303" s="62"/>
      <c r="K303" s="62"/>
      <c r="L303" s="62"/>
      <c r="M303" s="62"/>
      <c r="N303" s="62"/>
      <c r="O303" s="62"/>
      <c r="P303" s="62"/>
      <c r="Q303" s="62"/>
      <c r="R303" s="62"/>
      <c r="S303" s="62"/>
      <c r="T303" s="62"/>
      <c r="U303" s="62"/>
      <c r="V303" s="62"/>
      <c r="W303" s="62"/>
      <c r="X303" s="62"/>
      <c r="Y303" s="62"/>
      <c r="Z303" s="62"/>
      <c r="AA303" s="62"/>
      <c r="AB303" s="62"/>
      <c r="AC303" s="62"/>
      <c r="AD303" s="62"/>
      <c r="AE303" s="62"/>
      <c r="AF303" s="62"/>
      <c r="AG303" s="62"/>
      <c r="AH303" s="62"/>
      <c r="AI303" s="62"/>
      <c r="AJ303" s="62"/>
      <c r="AK303" s="62"/>
    </row>
    <row r="304" spans="1:37" x14ac:dyDescent="0.2">
      <c r="A304" s="62"/>
      <c r="B304" s="62"/>
      <c r="C304" s="62"/>
      <c r="D304" s="62"/>
      <c r="E304" s="62"/>
      <c r="F304" s="62"/>
      <c r="G304" s="62"/>
      <c r="H304" s="62"/>
      <c r="I304" s="62"/>
      <c r="J304" s="62"/>
      <c r="K304" s="62"/>
      <c r="L304" s="62"/>
      <c r="M304" s="62"/>
      <c r="N304" s="62"/>
      <c r="O304" s="62"/>
      <c r="P304" s="62"/>
      <c r="Q304" s="62"/>
      <c r="R304" s="62"/>
      <c r="S304" s="62"/>
      <c r="T304" s="62"/>
      <c r="U304" s="62"/>
      <c r="V304" s="62"/>
      <c r="W304" s="62"/>
      <c r="X304" s="62"/>
      <c r="Y304" s="62"/>
      <c r="Z304" s="62"/>
      <c r="AA304" s="62"/>
      <c r="AB304" s="62"/>
      <c r="AC304" s="62"/>
      <c r="AD304" s="62"/>
      <c r="AE304" s="62"/>
      <c r="AF304" s="62"/>
      <c r="AG304" s="62"/>
      <c r="AH304" s="62"/>
      <c r="AI304" s="62"/>
      <c r="AJ304" s="62"/>
      <c r="AK304" s="62"/>
    </row>
    <row r="305" spans="1:37" x14ac:dyDescent="0.2">
      <c r="A305" s="62"/>
      <c r="B305" s="62"/>
      <c r="C305" s="62"/>
      <c r="D305" s="62"/>
      <c r="E305" s="62"/>
      <c r="F305" s="62"/>
      <c r="G305" s="62"/>
      <c r="H305" s="62"/>
      <c r="I305" s="62"/>
      <c r="J305" s="62"/>
      <c r="K305" s="62"/>
      <c r="L305" s="62"/>
      <c r="M305" s="62"/>
      <c r="N305" s="62"/>
      <c r="O305" s="62"/>
      <c r="P305" s="62"/>
      <c r="Q305" s="62"/>
      <c r="R305" s="62"/>
      <c r="S305" s="62"/>
      <c r="T305" s="62"/>
      <c r="U305" s="62"/>
      <c r="V305" s="62"/>
      <c r="W305" s="62"/>
      <c r="X305" s="62"/>
      <c r="Y305" s="62"/>
      <c r="Z305" s="62"/>
      <c r="AA305" s="62"/>
      <c r="AB305" s="62"/>
      <c r="AC305" s="62"/>
      <c r="AD305" s="62"/>
      <c r="AE305" s="62"/>
      <c r="AF305" s="62"/>
      <c r="AG305" s="62"/>
      <c r="AH305" s="62"/>
      <c r="AI305" s="62"/>
      <c r="AJ305" s="62"/>
      <c r="AK305" s="62"/>
    </row>
    <row r="306" spans="1:37" x14ac:dyDescent="0.2">
      <c r="A306" s="62"/>
      <c r="B306" s="62"/>
      <c r="C306" s="62"/>
      <c r="D306" s="62"/>
      <c r="E306" s="62"/>
      <c r="F306" s="62"/>
      <c r="G306" s="62"/>
      <c r="H306" s="62"/>
      <c r="I306" s="62"/>
      <c r="J306" s="62"/>
      <c r="K306" s="62"/>
      <c r="L306" s="62"/>
      <c r="M306" s="62"/>
      <c r="N306" s="62"/>
      <c r="O306" s="62"/>
      <c r="P306" s="62"/>
      <c r="Q306" s="62"/>
      <c r="R306" s="62"/>
      <c r="S306" s="62"/>
      <c r="T306" s="62"/>
      <c r="U306" s="62"/>
      <c r="V306" s="62"/>
      <c r="W306" s="62"/>
      <c r="X306" s="62"/>
      <c r="Y306" s="62"/>
      <c r="Z306" s="62"/>
      <c r="AA306" s="62"/>
      <c r="AB306" s="62"/>
      <c r="AC306" s="62"/>
      <c r="AD306" s="62"/>
      <c r="AE306" s="62"/>
      <c r="AF306" s="62"/>
      <c r="AG306" s="62"/>
      <c r="AH306" s="62"/>
      <c r="AI306" s="62"/>
      <c r="AJ306" s="62"/>
      <c r="AK306" s="62"/>
    </row>
    <row r="307" spans="1:37" x14ac:dyDescent="0.2">
      <c r="A307" s="62"/>
      <c r="B307" s="62"/>
      <c r="C307" s="62"/>
      <c r="D307" s="62"/>
      <c r="E307" s="62"/>
      <c r="F307" s="62"/>
      <c r="G307" s="62"/>
      <c r="H307" s="62"/>
      <c r="I307" s="62"/>
      <c r="J307" s="62"/>
      <c r="K307" s="62"/>
      <c r="L307" s="62"/>
      <c r="M307" s="62"/>
      <c r="N307" s="62"/>
      <c r="O307" s="62"/>
      <c r="P307" s="62"/>
      <c r="Q307" s="62"/>
      <c r="R307" s="62"/>
      <c r="S307" s="62"/>
      <c r="T307" s="62"/>
      <c r="U307" s="62"/>
      <c r="V307" s="62"/>
      <c r="W307" s="62"/>
      <c r="X307" s="62"/>
      <c r="Y307" s="62"/>
      <c r="Z307" s="62"/>
      <c r="AA307" s="62"/>
      <c r="AB307" s="62"/>
      <c r="AC307" s="62"/>
      <c r="AD307" s="62"/>
      <c r="AE307" s="62"/>
      <c r="AF307" s="62"/>
      <c r="AG307" s="62"/>
      <c r="AH307" s="62"/>
      <c r="AI307" s="62"/>
      <c r="AJ307" s="62"/>
      <c r="AK307" s="62"/>
    </row>
    <row r="308" spans="1:37" x14ac:dyDescent="0.2">
      <c r="A308" s="62"/>
      <c r="B308" s="62"/>
      <c r="C308" s="62"/>
      <c r="D308" s="62"/>
      <c r="E308" s="62"/>
      <c r="F308" s="62"/>
      <c r="G308" s="62"/>
      <c r="H308" s="62"/>
      <c r="I308" s="62"/>
      <c r="J308" s="62"/>
      <c r="K308" s="62"/>
      <c r="L308" s="62"/>
      <c r="M308" s="62"/>
      <c r="N308" s="62"/>
      <c r="O308" s="62"/>
      <c r="P308" s="62"/>
      <c r="Q308" s="62"/>
      <c r="R308" s="62"/>
      <c r="S308" s="62"/>
      <c r="T308" s="62"/>
      <c r="U308" s="62"/>
      <c r="V308" s="62"/>
      <c r="W308" s="62"/>
      <c r="X308" s="62"/>
      <c r="Y308" s="62"/>
      <c r="Z308" s="62"/>
      <c r="AA308" s="62"/>
      <c r="AB308" s="62"/>
      <c r="AC308" s="62"/>
      <c r="AD308" s="62"/>
      <c r="AE308" s="62"/>
      <c r="AF308" s="62"/>
      <c r="AG308" s="62"/>
      <c r="AH308" s="62"/>
      <c r="AI308" s="62"/>
      <c r="AJ308" s="62"/>
      <c r="AK308" s="62"/>
    </row>
    <row r="309" spans="1:37" x14ac:dyDescent="0.2">
      <c r="A309" s="62"/>
      <c r="B309" s="62"/>
      <c r="C309" s="62"/>
      <c r="D309" s="62"/>
      <c r="E309" s="62"/>
      <c r="F309" s="62"/>
      <c r="G309" s="62"/>
      <c r="H309" s="62"/>
      <c r="I309" s="62"/>
      <c r="J309" s="62"/>
      <c r="K309" s="62"/>
      <c r="L309" s="62"/>
      <c r="M309" s="62"/>
      <c r="N309" s="62"/>
      <c r="O309" s="62"/>
      <c r="P309" s="62"/>
      <c r="Q309" s="62"/>
      <c r="R309" s="62"/>
      <c r="S309" s="62"/>
      <c r="T309" s="62"/>
      <c r="U309" s="62"/>
      <c r="V309" s="62"/>
      <c r="W309" s="62"/>
      <c r="X309" s="62"/>
      <c r="Y309" s="62"/>
      <c r="Z309" s="62"/>
      <c r="AA309" s="62"/>
      <c r="AB309" s="62"/>
      <c r="AC309" s="62"/>
      <c r="AD309" s="62"/>
      <c r="AE309" s="62"/>
      <c r="AF309" s="62"/>
      <c r="AG309" s="62"/>
      <c r="AH309" s="62"/>
      <c r="AI309" s="62"/>
      <c r="AJ309" s="62"/>
      <c r="AK309" s="62"/>
    </row>
    <row r="310" spans="1:37" x14ac:dyDescent="0.2">
      <c r="A310" s="62"/>
      <c r="B310" s="62"/>
      <c r="C310" s="62"/>
      <c r="D310" s="62"/>
      <c r="E310" s="62"/>
      <c r="F310" s="62"/>
      <c r="G310" s="62"/>
      <c r="H310" s="62"/>
      <c r="I310" s="62"/>
      <c r="J310" s="62"/>
      <c r="K310" s="62"/>
      <c r="L310" s="62"/>
      <c r="M310" s="62"/>
      <c r="N310" s="62"/>
      <c r="O310" s="62"/>
      <c r="P310" s="62"/>
      <c r="Q310" s="62"/>
      <c r="R310" s="62"/>
      <c r="S310" s="62"/>
      <c r="T310" s="62"/>
      <c r="U310" s="62"/>
      <c r="V310" s="62"/>
      <c r="W310" s="62"/>
      <c r="X310" s="62"/>
      <c r="Y310" s="62"/>
      <c r="Z310" s="62"/>
      <c r="AA310" s="62"/>
      <c r="AB310" s="62"/>
      <c r="AC310" s="62"/>
      <c r="AD310" s="62"/>
      <c r="AE310" s="62"/>
      <c r="AF310" s="62"/>
      <c r="AG310" s="62"/>
      <c r="AH310" s="62"/>
      <c r="AI310" s="62"/>
      <c r="AJ310" s="62"/>
      <c r="AK310" s="62"/>
    </row>
    <row r="311" spans="1:37" x14ac:dyDescent="0.2">
      <c r="A311" s="62"/>
      <c r="B311" s="62"/>
      <c r="C311" s="62"/>
      <c r="D311" s="62"/>
      <c r="E311" s="62"/>
      <c r="F311" s="62"/>
      <c r="G311" s="62"/>
      <c r="H311" s="62"/>
      <c r="I311" s="62"/>
      <c r="J311" s="62"/>
      <c r="K311" s="62"/>
      <c r="L311" s="62"/>
      <c r="M311" s="62"/>
      <c r="N311" s="62"/>
      <c r="O311" s="62"/>
      <c r="P311" s="62"/>
      <c r="Q311" s="62"/>
      <c r="R311" s="62"/>
      <c r="S311" s="62"/>
      <c r="T311" s="62"/>
      <c r="U311" s="62"/>
      <c r="V311" s="62"/>
      <c r="W311" s="62"/>
      <c r="X311" s="62"/>
      <c r="Y311" s="62"/>
      <c r="Z311" s="62"/>
      <c r="AA311" s="62"/>
      <c r="AB311" s="62"/>
      <c r="AC311" s="62"/>
      <c r="AD311" s="62"/>
      <c r="AE311" s="62"/>
      <c r="AF311" s="62"/>
      <c r="AG311" s="62"/>
      <c r="AH311" s="62"/>
      <c r="AI311" s="62"/>
      <c r="AJ311" s="62"/>
      <c r="AK311" s="62"/>
    </row>
    <row r="312" spans="1:37" x14ac:dyDescent="0.2">
      <c r="A312" s="62"/>
      <c r="B312" s="62"/>
      <c r="C312" s="62"/>
      <c r="D312" s="62"/>
      <c r="E312" s="62"/>
      <c r="F312" s="62"/>
      <c r="G312" s="62"/>
      <c r="H312" s="62"/>
      <c r="I312" s="62"/>
      <c r="J312" s="62"/>
      <c r="K312" s="62"/>
      <c r="L312" s="62"/>
      <c r="M312" s="62"/>
      <c r="N312" s="62"/>
      <c r="O312" s="62"/>
      <c r="P312" s="62"/>
      <c r="Q312" s="62"/>
      <c r="R312" s="62"/>
      <c r="S312" s="62"/>
      <c r="T312" s="62"/>
      <c r="U312" s="62"/>
      <c r="V312" s="62"/>
      <c r="W312" s="62"/>
      <c r="X312" s="62"/>
      <c r="Y312" s="62"/>
      <c r="Z312" s="62"/>
      <c r="AA312" s="62"/>
      <c r="AB312" s="62"/>
      <c r="AC312" s="62"/>
      <c r="AD312" s="62"/>
      <c r="AE312" s="62"/>
      <c r="AF312" s="62"/>
      <c r="AG312" s="62"/>
      <c r="AH312" s="62"/>
      <c r="AI312" s="62"/>
      <c r="AJ312" s="62"/>
      <c r="AK312" s="62"/>
    </row>
    <row r="313" spans="1:37" x14ac:dyDescent="0.2">
      <c r="A313" s="62"/>
      <c r="B313" s="62"/>
      <c r="C313" s="62"/>
      <c r="D313" s="62"/>
      <c r="E313" s="62"/>
      <c r="F313" s="62"/>
      <c r="G313" s="62"/>
      <c r="H313" s="62"/>
      <c r="I313" s="62"/>
      <c r="J313" s="62"/>
      <c r="K313" s="62"/>
      <c r="L313" s="62"/>
      <c r="M313" s="62"/>
      <c r="N313" s="62"/>
      <c r="O313" s="62"/>
      <c r="P313" s="62"/>
      <c r="Q313" s="62"/>
      <c r="R313" s="62"/>
      <c r="S313" s="62"/>
      <c r="T313" s="62"/>
      <c r="U313" s="62"/>
      <c r="V313" s="62"/>
      <c r="W313" s="62"/>
      <c r="X313" s="62"/>
      <c r="Y313" s="62"/>
      <c r="Z313" s="62"/>
      <c r="AA313" s="62"/>
      <c r="AB313" s="62"/>
      <c r="AC313" s="62"/>
      <c r="AD313" s="62"/>
      <c r="AE313" s="62"/>
      <c r="AF313" s="62"/>
      <c r="AG313" s="62"/>
      <c r="AH313" s="62"/>
      <c r="AI313" s="62"/>
      <c r="AJ313" s="62"/>
      <c r="AK313" s="62"/>
    </row>
    <row r="314" spans="1:37" x14ac:dyDescent="0.2">
      <c r="A314" s="62"/>
      <c r="B314" s="62"/>
      <c r="C314" s="62"/>
      <c r="D314" s="62"/>
      <c r="E314" s="62"/>
      <c r="F314" s="62"/>
      <c r="G314" s="62"/>
      <c r="H314" s="62"/>
      <c r="I314" s="62"/>
      <c r="J314" s="62"/>
      <c r="K314" s="62"/>
      <c r="L314" s="62"/>
      <c r="M314" s="62"/>
      <c r="N314" s="62"/>
      <c r="O314" s="62"/>
      <c r="P314" s="62"/>
      <c r="Q314" s="62"/>
      <c r="R314" s="62"/>
      <c r="S314" s="62"/>
      <c r="T314" s="62"/>
      <c r="U314" s="62"/>
      <c r="V314" s="62"/>
      <c r="W314" s="62"/>
      <c r="X314" s="62"/>
      <c r="Y314" s="62"/>
      <c r="Z314" s="62"/>
      <c r="AA314" s="62"/>
      <c r="AB314" s="62"/>
      <c r="AC314" s="62"/>
      <c r="AD314" s="62"/>
      <c r="AE314" s="62"/>
      <c r="AF314" s="62"/>
      <c r="AG314" s="62"/>
      <c r="AH314" s="62"/>
      <c r="AI314" s="62"/>
      <c r="AJ314" s="62"/>
      <c r="AK314" s="62"/>
    </row>
    <row r="315" spans="1:37" x14ac:dyDescent="0.2">
      <c r="A315" s="62"/>
      <c r="B315" s="62"/>
      <c r="C315" s="62"/>
      <c r="D315" s="62"/>
      <c r="E315" s="62"/>
      <c r="F315" s="62"/>
      <c r="G315" s="62"/>
      <c r="H315" s="62"/>
      <c r="I315" s="62"/>
      <c r="J315" s="62"/>
      <c r="K315" s="62"/>
      <c r="L315" s="62"/>
      <c r="M315" s="62"/>
      <c r="N315" s="62"/>
      <c r="O315" s="62"/>
      <c r="P315" s="62"/>
      <c r="Q315" s="62"/>
      <c r="R315" s="62"/>
      <c r="S315" s="62"/>
      <c r="T315" s="62"/>
      <c r="U315" s="62"/>
      <c r="V315" s="62"/>
      <c r="W315" s="62"/>
      <c r="X315" s="62"/>
      <c r="Y315" s="62"/>
      <c r="Z315" s="62"/>
      <c r="AA315" s="62"/>
      <c r="AB315" s="62"/>
      <c r="AC315" s="62"/>
      <c r="AD315" s="62"/>
      <c r="AE315" s="62"/>
      <c r="AF315" s="62"/>
      <c r="AG315" s="62"/>
      <c r="AH315" s="62"/>
      <c r="AI315" s="62"/>
      <c r="AJ315" s="62"/>
      <c r="AK315" s="62"/>
    </row>
  </sheetData>
  <mergeCells count="897">
    <mergeCell ref="A1:D2"/>
    <mergeCell ref="A3:D3"/>
    <mergeCell ref="A4:D4"/>
    <mergeCell ref="A14:D14"/>
    <mergeCell ref="A15:D15"/>
    <mergeCell ref="A11:D11"/>
    <mergeCell ref="A12:D12"/>
    <mergeCell ref="A13:D13"/>
    <mergeCell ref="E12:G12"/>
    <mergeCell ref="A8:D8"/>
    <mergeCell ref="A9:D9"/>
    <mergeCell ref="A10:D10"/>
    <mergeCell ref="E5:G5"/>
    <mergeCell ref="E6:G6"/>
    <mergeCell ref="E7:G7"/>
    <mergeCell ref="E8:G8"/>
    <mergeCell ref="E9:G9"/>
    <mergeCell ref="E10:G10"/>
    <mergeCell ref="E11:G11"/>
    <mergeCell ref="E3:G3"/>
    <mergeCell ref="E4:G4"/>
    <mergeCell ref="A16:D16"/>
    <mergeCell ref="E14:G14"/>
    <mergeCell ref="E15:G15"/>
    <mergeCell ref="A5:D5"/>
    <mergeCell ref="A6:D6"/>
    <mergeCell ref="A7:D7"/>
    <mergeCell ref="E16:G16"/>
    <mergeCell ref="A32:D32"/>
    <mergeCell ref="A33:D33"/>
    <mergeCell ref="A23:D23"/>
    <mergeCell ref="A24:D24"/>
    <mergeCell ref="A25:D25"/>
    <mergeCell ref="A20:D20"/>
    <mergeCell ref="A21:D21"/>
    <mergeCell ref="A22:D22"/>
    <mergeCell ref="A17:D17"/>
    <mergeCell ref="A18:D18"/>
    <mergeCell ref="A19:D19"/>
    <mergeCell ref="A34:D34"/>
    <mergeCell ref="E33:G33"/>
    <mergeCell ref="A29:D29"/>
    <mergeCell ref="A30:D30"/>
    <mergeCell ref="A31:D31"/>
    <mergeCell ref="A26:D26"/>
    <mergeCell ref="A27:D27"/>
    <mergeCell ref="A28:D28"/>
    <mergeCell ref="E26:G26"/>
    <mergeCell ref="E30:G30"/>
    <mergeCell ref="E31:G31"/>
    <mergeCell ref="E32:G32"/>
    <mergeCell ref="E34:G34"/>
    <mergeCell ref="A41:D41"/>
    <mergeCell ref="A42:D42"/>
    <mergeCell ref="A43:D43"/>
    <mergeCell ref="A38:D38"/>
    <mergeCell ref="A39:D39"/>
    <mergeCell ref="A40:D40"/>
    <mergeCell ref="A35:D35"/>
    <mergeCell ref="A36:D36"/>
    <mergeCell ref="A37:D37"/>
    <mergeCell ref="H53:X53"/>
    <mergeCell ref="H54:X54"/>
    <mergeCell ref="A50:D50"/>
    <mergeCell ref="A51:D51"/>
    <mergeCell ref="A52:D52"/>
    <mergeCell ref="A47:D47"/>
    <mergeCell ref="A48:D48"/>
    <mergeCell ref="A49:D49"/>
    <mergeCell ref="A44:D44"/>
    <mergeCell ref="A45:D45"/>
    <mergeCell ref="A46:D46"/>
    <mergeCell ref="E44:G44"/>
    <mergeCell ref="E45:G45"/>
    <mergeCell ref="H49:X49"/>
    <mergeCell ref="H50:X50"/>
    <mergeCell ref="H51:X51"/>
    <mergeCell ref="H52:X52"/>
    <mergeCell ref="E52:G52"/>
    <mergeCell ref="E46:G46"/>
    <mergeCell ref="E47:G47"/>
    <mergeCell ref="E48:G48"/>
    <mergeCell ref="E49:G49"/>
    <mergeCell ref="E50:G50"/>
    <mergeCell ref="E51:G51"/>
    <mergeCell ref="A59:D59"/>
    <mergeCell ref="A60:D60"/>
    <mergeCell ref="A61:D61"/>
    <mergeCell ref="A56:D56"/>
    <mergeCell ref="A57:D57"/>
    <mergeCell ref="A58:D58"/>
    <mergeCell ref="E58:G58"/>
    <mergeCell ref="A53:D53"/>
    <mergeCell ref="A54:D54"/>
    <mergeCell ref="A55:D55"/>
    <mergeCell ref="E59:G59"/>
    <mergeCell ref="E60:G60"/>
    <mergeCell ref="E61:G61"/>
    <mergeCell ref="E53:G53"/>
    <mergeCell ref="E54:G54"/>
    <mergeCell ref="E55:G55"/>
    <mergeCell ref="E56:G56"/>
    <mergeCell ref="E57:G57"/>
    <mergeCell ref="A68:D68"/>
    <mergeCell ref="A69:D69"/>
    <mergeCell ref="A70:D70"/>
    <mergeCell ref="A65:D65"/>
    <mergeCell ref="A66:D66"/>
    <mergeCell ref="A67:D67"/>
    <mergeCell ref="A62:D62"/>
    <mergeCell ref="A63:D63"/>
    <mergeCell ref="A64:D64"/>
    <mergeCell ref="H77:X77"/>
    <mergeCell ref="A74:D74"/>
    <mergeCell ref="A75:D75"/>
    <mergeCell ref="A76:D76"/>
    <mergeCell ref="A71:D71"/>
    <mergeCell ref="A72:D72"/>
    <mergeCell ref="A73:D73"/>
    <mergeCell ref="E71:G71"/>
    <mergeCell ref="H73:X73"/>
    <mergeCell ref="H74:X74"/>
    <mergeCell ref="H75:X75"/>
    <mergeCell ref="H76:X76"/>
    <mergeCell ref="A98:D98"/>
    <mergeCell ref="E85:G85"/>
    <mergeCell ref="E86:G86"/>
    <mergeCell ref="E87:G87"/>
    <mergeCell ref="E88:G88"/>
    <mergeCell ref="H86:X86"/>
    <mergeCell ref="H87:X87"/>
    <mergeCell ref="A77:D77"/>
    <mergeCell ref="A78:D78"/>
    <mergeCell ref="A79:D79"/>
    <mergeCell ref="E78:G78"/>
    <mergeCell ref="A86:D86"/>
    <mergeCell ref="A87:D87"/>
    <mergeCell ref="A88:D88"/>
    <mergeCell ref="A83:D83"/>
    <mergeCell ref="A84:D84"/>
    <mergeCell ref="A85:D85"/>
    <mergeCell ref="A80:D80"/>
    <mergeCell ref="A81:D81"/>
    <mergeCell ref="A82:D82"/>
    <mergeCell ref="E81:G81"/>
    <mergeCell ref="E82:G82"/>
    <mergeCell ref="E83:G83"/>
    <mergeCell ref="E84:G84"/>
    <mergeCell ref="A95:D95"/>
    <mergeCell ref="A96:D96"/>
    <mergeCell ref="A97:D97"/>
    <mergeCell ref="A92:D92"/>
    <mergeCell ref="A93:D93"/>
    <mergeCell ref="A94:D94"/>
    <mergeCell ref="A89:D89"/>
    <mergeCell ref="A90:D90"/>
    <mergeCell ref="A91:D91"/>
    <mergeCell ref="A99:D99"/>
    <mergeCell ref="A100:D100"/>
    <mergeCell ref="A110:D110"/>
    <mergeCell ref="A111:D111"/>
    <mergeCell ref="A112:D112"/>
    <mergeCell ref="A107:D107"/>
    <mergeCell ref="A108:D108"/>
    <mergeCell ref="A109:D109"/>
    <mergeCell ref="H107:X107"/>
    <mergeCell ref="H108:X108"/>
    <mergeCell ref="H109:X109"/>
    <mergeCell ref="H110:X110"/>
    <mergeCell ref="H111:X111"/>
    <mergeCell ref="H112:X112"/>
    <mergeCell ref="E110:G110"/>
    <mergeCell ref="E111:G111"/>
    <mergeCell ref="E112:G112"/>
    <mergeCell ref="H106:X106"/>
    <mergeCell ref="A104:D104"/>
    <mergeCell ref="A105:D105"/>
    <mergeCell ref="A106:D106"/>
    <mergeCell ref="A101:D101"/>
    <mergeCell ref="A102:D102"/>
    <mergeCell ref="A103:D103"/>
    <mergeCell ref="A116:D116"/>
    <mergeCell ref="A117:D117"/>
    <mergeCell ref="A118:D118"/>
    <mergeCell ref="E116:G116"/>
    <mergeCell ref="E117:G117"/>
    <mergeCell ref="E118:G118"/>
    <mergeCell ref="E119:G119"/>
    <mergeCell ref="E120:G120"/>
    <mergeCell ref="A113:D113"/>
    <mergeCell ref="A114:D114"/>
    <mergeCell ref="A115:D115"/>
    <mergeCell ref="E113:G113"/>
    <mergeCell ref="E114:G114"/>
    <mergeCell ref="E115:G115"/>
    <mergeCell ref="A119:D119"/>
    <mergeCell ref="A120:D120"/>
    <mergeCell ref="A130:D130"/>
    <mergeCell ref="A125:D125"/>
    <mergeCell ref="A126:D126"/>
    <mergeCell ref="A127:D127"/>
    <mergeCell ref="E131:G131"/>
    <mergeCell ref="E132:G132"/>
    <mergeCell ref="E133:G133"/>
    <mergeCell ref="E121:G121"/>
    <mergeCell ref="E122:G122"/>
    <mergeCell ref="E130:G130"/>
    <mergeCell ref="E124:G124"/>
    <mergeCell ref="E125:G125"/>
    <mergeCell ref="A122:D122"/>
    <mergeCell ref="A123:D123"/>
    <mergeCell ref="A124:D124"/>
    <mergeCell ref="E123:G123"/>
    <mergeCell ref="A121:D121"/>
    <mergeCell ref="A128:D128"/>
    <mergeCell ref="A129:D129"/>
    <mergeCell ref="A131:D131"/>
    <mergeCell ref="A132:D132"/>
    <mergeCell ref="A133:D133"/>
    <mergeCell ref="E126:G126"/>
    <mergeCell ref="E127:G127"/>
    <mergeCell ref="A140:D140"/>
    <mergeCell ref="A141:D141"/>
    <mergeCell ref="A142:D142"/>
    <mergeCell ref="A137:D137"/>
    <mergeCell ref="A138:D138"/>
    <mergeCell ref="A139:D139"/>
    <mergeCell ref="A134:D134"/>
    <mergeCell ref="A135:D135"/>
    <mergeCell ref="A136:D136"/>
    <mergeCell ref="A149:D149"/>
    <mergeCell ref="A150:D150"/>
    <mergeCell ref="A151:D151"/>
    <mergeCell ref="E157:G157"/>
    <mergeCell ref="A146:D146"/>
    <mergeCell ref="A147:D147"/>
    <mergeCell ref="A148:D148"/>
    <mergeCell ref="E148:G148"/>
    <mergeCell ref="A143:D143"/>
    <mergeCell ref="A144:D144"/>
    <mergeCell ref="A145:D145"/>
    <mergeCell ref="E143:G143"/>
    <mergeCell ref="E144:G144"/>
    <mergeCell ref="E145:G145"/>
    <mergeCell ref="E146:G146"/>
    <mergeCell ref="E147:G147"/>
    <mergeCell ref="A158:D158"/>
    <mergeCell ref="A159:D159"/>
    <mergeCell ref="A160:D160"/>
    <mergeCell ref="A155:D155"/>
    <mergeCell ref="A156:D156"/>
    <mergeCell ref="A157:D157"/>
    <mergeCell ref="A152:D152"/>
    <mergeCell ref="A153:D153"/>
    <mergeCell ref="A154:D154"/>
    <mergeCell ref="A167:D167"/>
    <mergeCell ref="A168:D168"/>
    <mergeCell ref="A169:D169"/>
    <mergeCell ref="E168:G168"/>
    <mergeCell ref="A164:D164"/>
    <mergeCell ref="A165:D165"/>
    <mergeCell ref="A166:D166"/>
    <mergeCell ref="A161:D161"/>
    <mergeCell ref="A162:D162"/>
    <mergeCell ref="A163:D163"/>
    <mergeCell ref="E161:G161"/>
    <mergeCell ref="E169:G169"/>
    <mergeCell ref="E162:G162"/>
    <mergeCell ref="E163:G163"/>
    <mergeCell ref="E164:G164"/>
    <mergeCell ref="E165:G165"/>
    <mergeCell ref="E166:G166"/>
    <mergeCell ref="E167:G167"/>
    <mergeCell ref="A170:D170"/>
    <mergeCell ref="A171:D171"/>
    <mergeCell ref="A172:D172"/>
    <mergeCell ref="E170:G170"/>
    <mergeCell ref="E171:G171"/>
    <mergeCell ref="E172:G172"/>
    <mergeCell ref="E173:G173"/>
    <mergeCell ref="E174:G174"/>
    <mergeCell ref="H176:X176"/>
    <mergeCell ref="E175:G175"/>
    <mergeCell ref="E176:G176"/>
    <mergeCell ref="A176:D176"/>
    <mergeCell ref="A177:D177"/>
    <mergeCell ref="A178:D178"/>
    <mergeCell ref="A173:D173"/>
    <mergeCell ref="A174:D174"/>
    <mergeCell ref="A175:D175"/>
    <mergeCell ref="A185:D185"/>
    <mergeCell ref="A186:D186"/>
    <mergeCell ref="A187:D187"/>
    <mergeCell ref="A182:D182"/>
    <mergeCell ref="A183:D183"/>
    <mergeCell ref="A184:D184"/>
    <mergeCell ref="A179:D179"/>
    <mergeCell ref="A180:D180"/>
    <mergeCell ref="A181:D181"/>
    <mergeCell ref="A194:D194"/>
    <mergeCell ref="A195:D195"/>
    <mergeCell ref="A196:D196"/>
    <mergeCell ref="A191:D191"/>
    <mergeCell ref="A192:D192"/>
    <mergeCell ref="A193:D193"/>
    <mergeCell ref="E193:G193"/>
    <mergeCell ref="A188:D188"/>
    <mergeCell ref="A189:D189"/>
    <mergeCell ref="A190:D190"/>
    <mergeCell ref="E194:G194"/>
    <mergeCell ref="E195:G195"/>
    <mergeCell ref="E196:G196"/>
    <mergeCell ref="E188:G188"/>
    <mergeCell ref="E189:G189"/>
    <mergeCell ref="A200:D200"/>
    <mergeCell ref="A201:D201"/>
    <mergeCell ref="A202:D202"/>
    <mergeCell ref="A197:D197"/>
    <mergeCell ref="A198:D198"/>
    <mergeCell ref="A199:D199"/>
    <mergeCell ref="E197:G197"/>
    <mergeCell ref="E198:G198"/>
    <mergeCell ref="E199:G199"/>
    <mergeCell ref="A206:D206"/>
    <mergeCell ref="A207:D207"/>
    <mergeCell ref="A208:D208"/>
    <mergeCell ref="E206:G206"/>
    <mergeCell ref="E214:G214"/>
    <mergeCell ref="H209:X209"/>
    <mergeCell ref="H210:X210"/>
    <mergeCell ref="H211:X211"/>
    <mergeCell ref="A203:D203"/>
    <mergeCell ref="A204:D204"/>
    <mergeCell ref="A205:D205"/>
    <mergeCell ref="H212:X212"/>
    <mergeCell ref="H213:X213"/>
    <mergeCell ref="H214:X214"/>
    <mergeCell ref="E215:G215"/>
    <mergeCell ref="E216:G216"/>
    <mergeCell ref="A212:D212"/>
    <mergeCell ref="A213:D213"/>
    <mergeCell ref="A214:D214"/>
    <mergeCell ref="E213:G213"/>
    <mergeCell ref="A209:D209"/>
    <mergeCell ref="A210:D210"/>
    <mergeCell ref="A211:D211"/>
    <mergeCell ref="E209:G209"/>
    <mergeCell ref="E210:G210"/>
    <mergeCell ref="E211:G211"/>
    <mergeCell ref="E212:G212"/>
    <mergeCell ref="A221:D221"/>
    <mergeCell ref="A222:D222"/>
    <mergeCell ref="A223:D223"/>
    <mergeCell ref="A218:D218"/>
    <mergeCell ref="A219:D219"/>
    <mergeCell ref="A220:D220"/>
    <mergeCell ref="A215:D215"/>
    <mergeCell ref="A216:D216"/>
    <mergeCell ref="A217:D217"/>
    <mergeCell ref="A230:D230"/>
    <mergeCell ref="A231:D231"/>
    <mergeCell ref="A232:D232"/>
    <mergeCell ref="A227:D227"/>
    <mergeCell ref="A228:D228"/>
    <mergeCell ref="A229:D229"/>
    <mergeCell ref="A224:D224"/>
    <mergeCell ref="A225:D225"/>
    <mergeCell ref="A226:D226"/>
    <mergeCell ref="A239:D239"/>
    <mergeCell ref="A240:D240"/>
    <mergeCell ref="A241:D241"/>
    <mergeCell ref="A236:D236"/>
    <mergeCell ref="A237:D237"/>
    <mergeCell ref="A238:D238"/>
    <mergeCell ref="E238:G238"/>
    <mergeCell ref="A233:D233"/>
    <mergeCell ref="A234:D234"/>
    <mergeCell ref="A235:D235"/>
    <mergeCell ref="E239:G239"/>
    <mergeCell ref="E240:G240"/>
    <mergeCell ref="E241:G241"/>
    <mergeCell ref="A248:D248"/>
    <mergeCell ref="A249:D249"/>
    <mergeCell ref="A250:D250"/>
    <mergeCell ref="A245:D245"/>
    <mergeCell ref="A246:D246"/>
    <mergeCell ref="A247:D247"/>
    <mergeCell ref="A242:D242"/>
    <mergeCell ref="A243:D243"/>
    <mergeCell ref="A244:D244"/>
    <mergeCell ref="A257:D257"/>
    <mergeCell ref="A258:D258"/>
    <mergeCell ref="A259:D259"/>
    <mergeCell ref="E258:G258"/>
    <mergeCell ref="A254:D254"/>
    <mergeCell ref="A255:D255"/>
    <mergeCell ref="A256:D256"/>
    <mergeCell ref="A251:D251"/>
    <mergeCell ref="A252:D252"/>
    <mergeCell ref="A253:D253"/>
    <mergeCell ref="E251:G251"/>
    <mergeCell ref="A266:D266"/>
    <mergeCell ref="A267:D267"/>
    <mergeCell ref="A268:D268"/>
    <mergeCell ref="A263:D263"/>
    <mergeCell ref="A264:D264"/>
    <mergeCell ref="A265:D265"/>
    <mergeCell ref="A260:D260"/>
    <mergeCell ref="A261:D261"/>
    <mergeCell ref="A262:D262"/>
    <mergeCell ref="A269:D269"/>
    <mergeCell ref="A270:D270"/>
    <mergeCell ref="A271:D271"/>
    <mergeCell ref="E271:G271"/>
    <mergeCell ref="E272:G272"/>
    <mergeCell ref="E273:G273"/>
    <mergeCell ref="E274:G274"/>
    <mergeCell ref="E275:G275"/>
    <mergeCell ref="E276:G276"/>
    <mergeCell ref="E269:G269"/>
    <mergeCell ref="E270:G270"/>
    <mergeCell ref="A278:D278"/>
    <mergeCell ref="A279:D279"/>
    <mergeCell ref="A280:D280"/>
    <mergeCell ref="A275:D275"/>
    <mergeCell ref="A276:D276"/>
    <mergeCell ref="A277:D277"/>
    <mergeCell ref="A272:D272"/>
    <mergeCell ref="A273:D273"/>
    <mergeCell ref="A274:D274"/>
    <mergeCell ref="H1:W2"/>
    <mergeCell ref="E1:G2"/>
    <mergeCell ref="A299:D299"/>
    <mergeCell ref="A300:D300"/>
    <mergeCell ref="A296:D296"/>
    <mergeCell ref="A297:D297"/>
    <mergeCell ref="A298:D298"/>
    <mergeCell ref="E296:G296"/>
    <mergeCell ref="A293:D293"/>
    <mergeCell ref="A294:D294"/>
    <mergeCell ref="A295:D295"/>
    <mergeCell ref="A290:D290"/>
    <mergeCell ref="A291:D291"/>
    <mergeCell ref="A292:D292"/>
    <mergeCell ref="A287:D287"/>
    <mergeCell ref="A288:D288"/>
    <mergeCell ref="A289:D289"/>
    <mergeCell ref="A284:D284"/>
    <mergeCell ref="A285:D285"/>
    <mergeCell ref="A286:D286"/>
    <mergeCell ref="A281:D281"/>
    <mergeCell ref="A282:D282"/>
    <mergeCell ref="A283:D283"/>
    <mergeCell ref="E283:G283"/>
    <mergeCell ref="H21:X21"/>
    <mergeCell ref="H266:X266"/>
    <mergeCell ref="H267:X267"/>
    <mergeCell ref="H253:X253"/>
    <mergeCell ref="H254:X254"/>
    <mergeCell ref="H255:X255"/>
    <mergeCell ref="H256:X256"/>
    <mergeCell ref="H233:X233"/>
    <mergeCell ref="H234:X234"/>
    <mergeCell ref="H230:X230"/>
    <mergeCell ref="H231:X231"/>
    <mergeCell ref="H232:X232"/>
    <mergeCell ref="H197:X197"/>
    <mergeCell ref="H198:X198"/>
    <mergeCell ref="H199:X199"/>
    <mergeCell ref="H189:X189"/>
    <mergeCell ref="H190:X190"/>
    <mergeCell ref="H191:X191"/>
    <mergeCell ref="H192:X192"/>
    <mergeCell ref="H193:X193"/>
    <mergeCell ref="H194:X194"/>
    <mergeCell ref="H195:X195"/>
    <mergeCell ref="H196:X196"/>
    <mergeCell ref="H186:X186"/>
    <mergeCell ref="H12:X12"/>
    <mergeCell ref="H13:X13"/>
    <mergeCell ref="H14:X14"/>
    <mergeCell ref="H15:X15"/>
    <mergeCell ref="H16:X16"/>
    <mergeCell ref="H17:X17"/>
    <mergeCell ref="H18:X18"/>
    <mergeCell ref="H19:X19"/>
    <mergeCell ref="H20:X20"/>
    <mergeCell ref="E265:G265"/>
    <mergeCell ref="E266:G266"/>
    <mergeCell ref="E267:G267"/>
    <mergeCell ref="E268:G268"/>
    <mergeCell ref="E245:G245"/>
    <mergeCell ref="E246:G246"/>
    <mergeCell ref="E247:G247"/>
    <mergeCell ref="E248:G248"/>
    <mergeCell ref="E249:G249"/>
    <mergeCell ref="E250:G250"/>
    <mergeCell ref="E38:G38"/>
    <mergeCell ref="E39:G39"/>
    <mergeCell ref="E27:G27"/>
    <mergeCell ref="E28:G28"/>
    <mergeCell ref="E29:G29"/>
    <mergeCell ref="E37:G37"/>
    <mergeCell ref="E35:G35"/>
    <mergeCell ref="E36:G36"/>
    <mergeCell ref="E13:G13"/>
    <mergeCell ref="E19:G19"/>
    <mergeCell ref="E20:G20"/>
    <mergeCell ref="E21:G21"/>
    <mergeCell ref="E22:G22"/>
    <mergeCell ref="E23:G23"/>
    <mergeCell ref="E24:G24"/>
    <mergeCell ref="E25:G25"/>
    <mergeCell ref="E17:G17"/>
    <mergeCell ref="E18:G18"/>
    <mergeCell ref="E40:G40"/>
    <mergeCell ref="E41:G41"/>
    <mergeCell ref="E42:G42"/>
    <mergeCell ref="E43:G43"/>
    <mergeCell ref="E62:G62"/>
    <mergeCell ref="E63:G63"/>
    <mergeCell ref="E64:G64"/>
    <mergeCell ref="E79:G79"/>
    <mergeCell ref="E80:G80"/>
    <mergeCell ref="E72:G72"/>
    <mergeCell ref="E73:G73"/>
    <mergeCell ref="E74:G74"/>
    <mergeCell ref="E75:G75"/>
    <mergeCell ref="E76:G76"/>
    <mergeCell ref="E77:G77"/>
    <mergeCell ref="E65:G65"/>
    <mergeCell ref="E66:G66"/>
    <mergeCell ref="E67:G67"/>
    <mergeCell ref="E68:G68"/>
    <mergeCell ref="E69:G69"/>
    <mergeCell ref="E70:G70"/>
    <mergeCell ref="E89:G89"/>
    <mergeCell ref="E90:G90"/>
    <mergeCell ref="E104:G104"/>
    <mergeCell ref="E105:G105"/>
    <mergeCell ref="E106:G106"/>
    <mergeCell ref="E107:G107"/>
    <mergeCell ref="E108:G108"/>
    <mergeCell ref="E109:G109"/>
    <mergeCell ref="E97:G97"/>
    <mergeCell ref="E98:G98"/>
    <mergeCell ref="E99:G99"/>
    <mergeCell ref="E100:G100"/>
    <mergeCell ref="E101:G101"/>
    <mergeCell ref="E102:G102"/>
    <mergeCell ref="E91:G91"/>
    <mergeCell ref="E92:G92"/>
    <mergeCell ref="E93:G93"/>
    <mergeCell ref="E94:G94"/>
    <mergeCell ref="E95:G95"/>
    <mergeCell ref="E96:G96"/>
    <mergeCell ref="E103:G103"/>
    <mergeCell ref="E128:G128"/>
    <mergeCell ref="E129:G129"/>
    <mergeCell ref="E139:G139"/>
    <mergeCell ref="E140:G140"/>
    <mergeCell ref="E141:G141"/>
    <mergeCell ref="E155:G155"/>
    <mergeCell ref="E156:G156"/>
    <mergeCell ref="E134:G134"/>
    <mergeCell ref="E135:G135"/>
    <mergeCell ref="E142:G142"/>
    <mergeCell ref="E136:G136"/>
    <mergeCell ref="E137:G137"/>
    <mergeCell ref="E138:G138"/>
    <mergeCell ref="E158:G158"/>
    <mergeCell ref="E159:G159"/>
    <mergeCell ref="E160:G160"/>
    <mergeCell ref="E149:G149"/>
    <mergeCell ref="E150:G150"/>
    <mergeCell ref="E151:G151"/>
    <mergeCell ref="E152:G152"/>
    <mergeCell ref="E153:G153"/>
    <mergeCell ref="E154:G154"/>
    <mergeCell ref="E177:G177"/>
    <mergeCell ref="E178:G178"/>
    <mergeCell ref="E179:G179"/>
    <mergeCell ref="E180:G180"/>
    <mergeCell ref="E190:G190"/>
    <mergeCell ref="E191:G191"/>
    <mergeCell ref="E192:G192"/>
    <mergeCell ref="E207:G207"/>
    <mergeCell ref="E208:G208"/>
    <mergeCell ref="E200:G200"/>
    <mergeCell ref="E201:G201"/>
    <mergeCell ref="E202:G202"/>
    <mergeCell ref="E203:G203"/>
    <mergeCell ref="E204:G204"/>
    <mergeCell ref="E205:G205"/>
    <mergeCell ref="E187:G187"/>
    <mergeCell ref="E181:G181"/>
    <mergeCell ref="E182:G182"/>
    <mergeCell ref="E183:G183"/>
    <mergeCell ref="E184:G184"/>
    <mergeCell ref="E185:G185"/>
    <mergeCell ref="E186:G186"/>
    <mergeCell ref="E217:G217"/>
    <mergeCell ref="E218:G218"/>
    <mergeCell ref="E219:G219"/>
    <mergeCell ref="E232:G232"/>
    <mergeCell ref="E233:G233"/>
    <mergeCell ref="E234:G234"/>
    <mergeCell ref="E235:G235"/>
    <mergeCell ref="E236:G236"/>
    <mergeCell ref="E237:G237"/>
    <mergeCell ref="E226:G226"/>
    <mergeCell ref="E227:G227"/>
    <mergeCell ref="E228:G228"/>
    <mergeCell ref="E229:G229"/>
    <mergeCell ref="E230:G230"/>
    <mergeCell ref="E231:G231"/>
    <mergeCell ref="E223:G223"/>
    <mergeCell ref="E224:G224"/>
    <mergeCell ref="E225:G225"/>
    <mergeCell ref="E220:G220"/>
    <mergeCell ref="E221:G221"/>
    <mergeCell ref="E222:G222"/>
    <mergeCell ref="E242:G242"/>
    <mergeCell ref="E243:G243"/>
    <mergeCell ref="E244:G244"/>
    <mergeCell ref="E259:G259"/>
    <mergeCell ref="E260:G260"/>
    <mergeCell ref="E261:G261"/>
    <mergeCell ref="E262:G262"/>
    <mergeCell ref="E263:G263"/>
    <mergeCell ref="E264:G264"/>
    <mergeCell ref="E252:G252"/>
    <mergeCell ref="E253:G253"/>
    <mergeCell ref="E254:G254"/>
    <mergeCell ref="E255:G255"/>
    <mergeCell ref="E256:G256"/>
    <mergeCell ref="E257:G257"/>
    <mergeCell ref="E284:G284"/>
    <mergeCell ref="E285:G285"/>
    <mergeCell ref="E286:G286"/>
    <mergeCell ref="E287:G287"/>
    <mergeCell ref="E288:G288"/>
    <mergeCell ref="E289:G289"/>
    <mergeCell ref="E277:G277"/>
    <mergeCell ref="E278:G278"/>
    <mergeCell ref="E279:G279"/>
    <mergeCell ref="E280:G280"/>
    <mergeCell ref="E281:G281"/>
    <mergeCell ref="E282:G282"/>
    <mergeCell ref="E297:G297"/>
    <mergeCell ref="E298:G298"/>
    <mergeCell ref="E299:G299"/>
    <mergeCell ref="E300:G300"/>
    <mergeCell ref="E290:G290"/>
    <mergeCell ref="E291:G291"/>
    <mergeCell ref="E292:G292"/>
    <mergeCell ref="E293:G293"/>
    <mergeCell ref="E294:G294"/>
    <mergeCell ref="E295:G295"/>
    <mergeCell ref="H3:X3"/>
    <mergeCell ref="H4:X4"/>
    <mergeCell ref="H5:X5"/>
    <mergeCell ref="H6:X6"/>
    <mergeCell ref="H7:X7"/>
    <mergeCell ref="H8:X8"/>
    <mergeCell ref="H9:X9"/>
    <mergeCell ref="H10:X10"/>
    <mergeCell ref="H11:X11"/>
    <mergeCell ref="H22:X22"/>
    <mergeCell ref="H23:X23"/>
    <mergeCell ref="H24:X24"/>
    <mergeCell ref="H25:X25"/>
    <mergeCell ref="H26:X26"/>
    <mergeCell ref="H27:X27"/>
    <mergeCell ref="H28:X28"/>
    <mergeCell ref="H29:X29"/>
    <mergeCell ref="H30:X30"/>
    <mergeCell ref="H31:X31"/>
    <mergeCell ref="H32:X32"/>
    <mergeCell ref="H33:X33"/>
    <mergeCell ref="H34:X34"/>
    <mergeCell ref="H35:X35"/>
    <mergeCell ref="H36:X36"/>
    <mergeCell ref="H37:X37"/>
    <mergeCell ref="H38:X38"/>
    <mergeCell ref="H39:X39"/>
    <mergeCell ref="H40:X40"/>
    <mergeCell ref="H41:X41"/>
    <mergeCell ref="H42:X42"/>
    <mergeCell ref="H43:X43"/>
    <mergeCell ref="H44:X44"/>
    <mergeCell ref="H45:X45"/>
    <mergeCell ref="H46:X46"/>
    <mergeCell ref="H47:X47"/>
    <mergeCell ref="H48:X48"/>
    <mergeCell ref="H55:X55"/>
    <mergeCell ref="H56:X56"/>
    <mergeCell ref="H57:X57"/>
    <mergeCell ref="H58:X58"/>
    <mergeCell ref="H59:X59"/>
    <mergeCell ref="H60:X60"/>
    <mergeCell ref="H61:X61"/>
    <mergeCell ref="H62:X62"/>
    <mergeCell ref="H63:X63"/>
    <mergeCell ref="H64:X64"/>
    <mergeCell ref="H65:X65"/>
    <mergeCell ref="H66:X66"/>
    <mergeCell ref="H67:X67"/>
    <mergeCell ref="H68:X68"/>
    <mergeCell ref="H69:X69"/>
    <mergeCell ref="H70:X70"/>
    <mergeCell ref="H71:X71"/>
    <mergeCell ref="H72:X72"/>
    <mergeCell ref="H78:X78"/>
    <mergeCell ref="H79:X79"/>
    <mergeCell ref="H80:X80"/>
    <mergeCell ref="H81:X81"/>
    <mergeCell ref="H82:X82"/>
    <mergeCell ref="H83:X83"/>
    <mergeCell ref="H84:X84"/>
    <mergeCell ref="H85:X85"/>
    <mergeCell ref="H88:X88"/>
    <mergeCell ref="H89:X89"/>
    <mergeCell ref="H90:X90"/>
    <mergeCell ref="H91:X91"/>
    <mergeCell ref="H92:X92"/>
    <mergeCell ref="H93:X93"/>
    <mergeCell ref="H94:X94"/>
    <mergeCell ref="H95:X95"/>
    <mergeCell ref="H96:X96"/>
    <mergeCell ref="H97:X97"/>
    <mergeCell ref="H98:X98"/>
    <mergeCell ref="H99:X99"/>
    <mergeCell ref="H100:X100"/>
    <mergeCell ref="H101:X101"/>
    <mergeCell ref="H102:X102"/>
    <mergeCell ref="H103:X103"/>
    <mergeCell ref="H104:X104"/>
    <mergeCell ref="H105:X105"/>
    <mergeCell ref="H113:X113"/>
    <mergeCell ref="H114:X114"/>
    <mergeCell ref="H115:X115"/>
    <mergeCell ref="H116:X116"/>
    <mergeCell ref="H117:X117"/>
    <mergeCell ref="H118:X118"/>
    <mergeCell ref="H119:X119"/>
    <mergeCell ref="H120:X120"/>
    <mergeCell ref="H121:X121"/>
    <mergeCell ref="H122:X122"/>
    <mergeCell ref="H123:X123"/>
    <mergeCell ref="H124:X124"/>
    <mergeCell ref="H125:X125"/>
    <mergeCell ref="H126:X126"/>
    <mergeCell ref="H127:X127"/>
    <mergeCell ref="H128:X128"/>
    <mergeCell ref="H129:X129"/>
    <mergeCell ref="H130:X130"/>
    <mergeCell ref="H134:X134"/>
    <mergeCell ref="H131:X131"/>
    <mergeCell ref="H132:X132"/>
    <mergeCell ref="H133:X133"/>
    <mergeCell ref="H135:X135"/>
    <mergeCell ref="H136:X136"/>
    <mergeCell ref="H137:X137"/>
    <mergeCell ref="H138:X138"/>
    <mergeCell ref="H139:X139"/>
    <mergeCell ref="H140:X140"/>
    <mergeCell ref="H141:X141"/>
    <mergeCell ref="H142:X142"/>
    <mergeCell ref="H143:X143"/>
    <mergeCell ref="H144:X144"/>
    <mergeCell ref="H145:X145"/>
    <mergeCell ref="H146:X146"/>
    <mergeCell ref="H147:X147"/>
    <mergeCell ref="H148:X148"/>
    <mergeCell ref="H149:X149"/>
    <mergeCell ref="H150:X150"/>
    <mergeCell ref="H151:X151"/>
    <mergeCell ref="H158:X158"/>
    <mergeCell ref="H152:X152"/>
    <mergeCell ref="H153:X153"/>
    <mergeCell ref="H154:X154"/>
    <mergeCell ref="H155:X155"/>
    <mergeCell ref="H156:X156"/>
    <mergeCell ref="H157:X157"/>
    <mergeCell ref="H159:X159"/>
    <mergeCell ref="H160:X160"/>
    <mergeCell ref="H161:X161"/>
    <mergeCell ref="H162:X162"/>
    <mergeCell ref="H163:X163"/>
    <mergeCell ref="H164:X164"/>
    <mergeCell ref="H165:X165"/>
    <mergeCell ref="H166:X166"/>
    <mergeCell ref="H167:X167"/>
    <mergeCell ref="H168:X168"/>
    <mergeCell ref="H169:X169"/>
    <mergeCell ref="H170:X170"/>
    <mergeCell ref="H171:X171"/>
    <mergeCell ref="H172:X172"/>
    <mergeCell ref="H173:X173"/>
    <mergeCell ref="H174:X174"/>
    <mergeCell ref="H175:X175"/>
    <mergeCell ref="H177:X177"/>
    <mergeCell ref="H178:X178"/>
    <mergeCell ref="H179:X179"/>
    <mergeCell ref="H180:X180"/>
    <mergeCell ref="H181:X181"/>
    <mergeCell ref="H182:X182"/>
    <mergeCell ref="H183:X183"/>
    <mergeCell ref="H184:X184"/>
    <mergeCell ref="H185:X185"/>
    <mergeCell ref="H188:X188"/>
    <mergeCell ref="H187:X187"/>
    <mergeCell ref="H200:X200"/>
    <mergeCell ref="H201:X201"/>
    <mergeCell ref="H202:X202"/>
    <mergeCell ref="H203:X203"/>
    <mergeCell ref="H204:X204"/>
    <mergeCell ref="H205:X205"/>
    <mergeCell ref="H206:X206"/>
    <mergeCell ref="H207:X207"/>
    <mergeCell ref="H208:X208"/>
    <mergeCell ref="H215:X215"/>
    <mergeCell ref="H216:X216"/>
    <mergeCell ref="H217:X217"/>
    <mergeCell ref="H218:X218"/>
    <mergeCell ref="H219:X219"/>
    <mergeCell ref="H220:X220"/>
    <mergeCell ref="H221:X221"/>
    <mergeCell ref="H222:X222"/>
    <mergeCell ref="H223:X223"/>
    <mergeCell ref="H224:X224"/>
    <mergeCell ref="H225:X225"/>
    <mergeCell ref="H226:X226"/>
    <mergeCell ref="H227:X227"/>
    <mergeCell ref="H228:X228"/>
    <mergeCell ref="H229:X229"/>
    <mergeCell ref="H235:X235"/>
    <mergeCell ref="H236:X236"/>
    <mergeCell ref="H237:X237"/>
    <mergeCell ref="H238:X238"/>
    <mergeCell ref="H239:X239"/>
    <mergeCell ref="H240:X240"/>
    <mergeCell ref="H241:X241"/>
    <mergeCell ref="H242:X242"/>
    <mergeCell ref="H243:X243"/>
    <mergeCell ref="H244:X244"/>
    <mergeCell ref="H245:X245"/>
    <mergeCell ref="H246:X246"/>
    <mergeCell ref="H247:X247"/>
    <mergeCell ref="H248:X248"/>
    <mergeCell ref="H249:X249"/>
    <mergeCell ref="H250:X250"/>
    <mergeCell ref="H251:X251"/>
    <mergeCell ref="H252:X252"/>
    <mergeCell ref="H257:X257"/>
    <mergeCell ref="H258:X258"/>
    <mergeCell ref="H259:X259"/>
    <mergeCell ref="H260:X260"/>
    <mergeCell ref="H261:X261"/>
    <mergeCell ref="H262:X262"/>
    <mergeCell ref="H263:X263"/>
    <mergeCell ref="H264:X264"/>
    <mergeCell ref="H265:X265"/>
    <mergeCell ref="H268:X268"/>
    <mergeCell ref="H269:X269"/>
    <mergeCell ref="H270:X270"/>
    <mergeCell ref="H271:X271"/>
    <mergeCell ref="H272:X272"/>
    <mergeCell ref="H273:X273"/>
    <mergeCell ref="H274:X274"/>
    <mergeCell ref="H275:X275"/>
    <mergeCell ref="H276:X276"/>
    <mergeCell ref="H277:X277"/>
    <mergeCell ref="H278:X278"/>
    <mergeCell ref="H279:X279"/>
    <mergeCell ref="H295:X295"/>
    <mergeCell ref="H296:X296"/>
    <mergeCell ref="H297:X297"/>
    <mergeCell ref="H298:X298"/>
    <mergeCell ref="H299:X299"/>
    <mergeCell ref="H300:X300"/>
    <mergeCell ref="H280:X280"/>
    <mergeCell ref="H281:X281"/>
    <mergeCell ref="H282:X282"/>
    <mergeCell ref="H283:X283"/>
    <mergeCell ref="H284:X284"/>
    <mergeCell ref="H285:X285"/>
    <mergeCell ref="H292:X292"/>
    <mergeCell ref="H293:X293"/>
    <mergeCell ref="H294:X294"/>
    <mergeCell ref="H286:X286"/>
    <mergeCell ref="H287:X287"/>
    <mergeCell ref="H288:X288"/>
    <mergeCell ref="H289:X289"/>
    <mergeCell ref="H290:X290"/>
    <mergeCell ref="H291:X29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欢迎</vt:lpstr>
      <vt:lpstr>总览</vt:lpstr>
      <vt:lpstr>计算区</vt:lpstr>
      <vt:lpstr>版本更新内容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2021-10-17T13:09:27Z</cp:lastPrinted>
  <dcterms:created xsi:type="dcterms:W3CDTF">2015-06-05T18:19:34Z</dcterms:created>
  <dcterms:modified xsi:type="dcterms:W3CDTF">2022-07-03T11:00:17Z</dcterms:modified>
</cp:coreProperties>
</file>